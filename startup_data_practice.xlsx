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5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6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7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s\Desktop\Global and Cultural trend project\"/>
    </mc:Choice>
  </mc:AlternateContent>
  <xr:revisionPtr revIDLastSave="0" documentId="13_ncr:1_{218C3823-A144-4BB9-863A-A91307FE74AA}" xr6:coauthVersionLast="47" xr6:coauthVersionMax="47" xr10:uidLastSave="{00000000-0000-0000-0000-000000000000}"/>
  <bookViews>
    <workbookView xWindow="-108" yWindow="-108" windowWidth="23256" windowHeight="12576" firstSheet="19" activeTab="20" xr2:uid="{DB271120-451D-447A-ABFC-401A7C8269B3}"/>
  </bookViews>
  <sheets>
    <sheet name="total number of startups" sheetId="2" r:id="rId1"/>
    <sheet name="Top industry for startups" sheetId="3" r:id="rId2"/>
    <sheet name="Average startup funding" sheetId="4" r:id="rId3"/>
    <sheet name="Average revenue by industry" sheetId="5" r:id="rId4"/>
    <sheet name="Top region for startups" sheetId="6" r:id="rId5"/>
    <sheet name="Startup profit status" sheetId="7" r:id="rId6"/>
    <sheet name="Top-funded industry" sheetId="8" r:id="rId7"/>
    <sheet name="Highest-valued startup" sheetId="9" r:id="rId8"/>
    <sheet name="Top market share startup" sheetId="10" r:id="rId9"/>
    <sheet name="Top 5 overvalued startups" sheetId="11" r:id="rId10"/>
    <sheet name="Region with highest revenue" sheetId="12" r:id="rId11"/>
    <sheet name="Industry with most funding" sheetId="13" r:id="rId12"/>
    <sheet name="Industry &amp; region founding year" sheetId="14" r:id="rId13"/>
    <sheet name="Funding amount over time" sheetId="15" r:id="rId14"/>
    <sheet name="Younger startups- profitability" sheetId="16" r:id="rId15"/>
    <sheet name="Funding vs. revenue analysis" sheetId="17" r:id="rId16"/>
    <sheet name="Startups with best efficiency" sheetId="18" r:id="rId17"/>
    <sheet name="Best valuation per employee" sheetId="20" r:id="rId18"/>
    <sheet name="Profitable companies get funded" sheetId="21" r:id="rId19"/>
    <sheet name="Rank startups by revenue" sheetId="22" r:id="rId20"/>
    <sheet name="Rank regions by investment" sheetId="26" r:id="rId21"/>
    <sheet name="startup_data" sheetId="1" r:id="rId22"/>
    <sheet name="startup_data (2)" sheetId="23" r:id="rId23"/>
  </sheets>
  <calcPr calcId="191029"/>
  <pivotCaches>
    <pivotCache cacheId="0" r:id="rId24"/>
    <pivotCache cacheId="7" r:id="rId25"/>
  </pivotCaches>
</workbook>
</file>

<file path=xl/calcChain.xml><?xml version="1.0" encoding="utf-8"?>
<calcChain xmlns="http://schemas.openxmlformats.org/spreadsheetml/2006/main">
  <c r="C16" i="26" l="1"/>
  <c r="C17" i="26"/>
  <c r="C18" i="26"/>
  <c r="C19" i="26"/>
  <c r="C15" i="26"/>
  <c r="O412" i="23"/>
  <c r="O165" i="23"/>
  <c r="O20" i="23"/>
  <c r="O415" i="23"/>
  <c r="O156" i="23"/>
  <c r="O388" i="23"/>
  <c r="O164" i="23"/>
  <c r="O434" i="23"/>
  <c r="O108" i="23"/>
  <c r="O488" i="23"/>
  <c r="O391" i="23"/>
  <c r="O65" i="23"/>
  <c r="O278" i="23"/>
  <c r="O494" i="23"/>
  <c r="O226" i="23"/>
  <c r="O94" i="23"/>
  <c r="O239" i="23"/>
  <c r="O246" i="23"/>
  <c r="O369" i="23"/>
  <c r="O347" i="23"/>
  <c r="O185" i="23"/>
  <c r="O107" i="23"/>
  <c r="O322" i="23"/>
  <c r="O197" i="23"/>
  <c r="O74" i="23"/>
  <c r="O452" i="23"/>
  <c r="O343" i="23"/>
  <c r="O341" i="23"/>
  <c r="O410" i="23"/>
  <c r="O259" i="23"/>
  <c r="O404" i="23"/>
  <c r="O244" i="23"/>
  <c r="O40" i="23"/>
  <c r="O190" i="23"/>
  <c r="O243" i="23"/>
  <c r="O354" i="23"/>
  <c r="O62" i="23"/>
  <c r="O76" i="23"/>
  <c r="O127" i="23"/>
  <c r="O128" i="23"/>
  <c r="O363" i="23"/>
  <c r="O120" i="23"/>
  <c r="O318" i="23"/>
  <c r="O242" i="23"/>
  <c r="O282" i="23"/>
  <c r="O420" i="23"/>
  <c r="O187" i="23"/>
  <c r="O384" i="23"/>
  <c r="O199" i="23"/>
  <c r="O159" i="23"/>
  <c r="O479" i="23"/>
  <c r="O95" i="23"/>
  <c r="O53" i="23"/>
  <c r="O385" i="23"/>
  <c r="O41" i="23"/>
  <c r="O418" i="23"/>
  <c r="O205" i="23"/>
  <c r="O461" i="23"/>
  <c r="O355" i="23"/>
  <c r="O307" i="23"/>
  <c r="O471" i="23"/>
  <c r="O180" i="23"/>
  <c r="O474" i="23"/>
  <c r="O75" i="23"/>
  <c r="O237" i="23"/>
  <c r="O129" i="23"/>
  <c r="O266" i="23"/>
  <c r="O88" i="23"/>
  <c r="O424" i="23"/>
  <c r="O426" i="23"/>
  <c r="O475" i="23"/>
  <c r="O81" i="23"/>
  <c r="O313" i="23"/>
  <c r="O230" i="23"/>
  <c r="O155" i="23"/>
  <c r="O158" i="23"/>
  <c r="O192" i="23"/>
  <c r="O349" i="23"/>
  <c r="O299" i="23"/>
  <c r="O216" i="23"/>
  <c r="O46" i="23"/>
  <c r="O47" i="23"/>
  <c r="O6" i="23"/>
  <c r="O487" i="23"/>
  <c r="O10" i="23"/>
  <c r="O60" i="23"/>
  <c r="O143" i="23"/>
  <c r="O403" i="23"/>
  <c r="O482" i="23"/>
  <c r="O396" i="23"/>
  <c r="O342" i="23"/>
  <c r="O254" i="23"/>
  <c r="O51" i="23"/>
  <c r="O478" i="23"/>
  <c r="O379" i="23"/>
  <c r="O320" i="23"/>
  <c r="O380" i="23"/>
  <c r="O357" i="23"/>
  <c r="O319" i="23"/>
  <c r="O491" i="23"/>
  <c r="O453" i="23"/>
  <c r="O323" i="23"/>
  <c r="O344" i="23"/>
  <c r="O33" i="23"/>
  <c r="O337" i="23"/>
  <c r="O28" i="23"/>
  <c r="O287" i="23"/>
  <c r="O501" i="23"/>
  <c r="O272" i="23"/>
  <c r="O228" i="23"/>
  <c r="O142" i="23"/>
  <c r="O69" i="23"/>
  <c r="O361" i="23"/>
  <c r="O99" i="23"/>
  <c r="O66" i="23"/>
  <c r="O198" i="23"/>
  <c r="O398" i="23"/>
  <c r="O372" i="23"/>
  <c r="O35" i="23"/>
  <c r="O214" i="23"/>
  <c r="O255" i="23"/>
  <c r="O321" i="23"/>
  <c r="O325" i="23"/>
  <c r="O166" i="23"/>
  <c r="O276" i="23"/>
  <c r="O235" i="23"/>
  <c r="O447" i="23"/>
  <c r="O260" i="23"/>
  <c r="O207" i="23"/>
  <c r="O188" i="23"/>
  <c r="O281" i="23"/>
  <c r="O402" i="23"/>
  <c r="O265" i="23"/>
  <c r="O333" i="23"/>
  <c r="O368" i="23"/>
  <c r="O252" i="23"/>
  <c r="O200" i="23"/>
  <c r="O440" i="23"/>
  <c r="O195" i="23"/>
  <c r="O217" i="23"/>
  <c r="O497" i="23"/>
  <c r="O2" i="23"/>
  <c r="O97" i="23"/>
  <c r="O173" i="23"/>
  <c r="O464" i="23"/>
  <c r="O43" i="23"/>
  <c r="O13" i="23"/>
  <c r="O34" i="23"/>
  <c r="O52" i="23"/>
  <c r="O24" i="23"/>
  <c r="O233" i="23"/>
  <c r="O284" i="23"/>
  <c r="O130" i="23"/>
  <c r="O182" i="23"/>
  <c r="O55" i="23"/>
  <c r="O154" i="23"/>
  <c r="O256" i="23"/>
  <c r="O364" i="23"/>
  <c r="O7" i="23"/>
  <c r="O223" i="23"/>
  <c r="O137" i="23"/>
  <c r="O429" i="23"/>
  <c r="O353" i="23"/>
  <c r="O290" i="23"/>
  <c r="O132" i="23"/>
  <c r="O459" i="23"/>
  <c r="O30" i="23"/>
  <c r="O63" i="23"/>
  <c r="O176" i="23"/>
  <c r="O71" i="23"/>
  <c r="O476" i="23"/>
  <c r="O400" i="23"/>
  <c r="O125" i="23"/>
  <c r="O289" i="23"/>
  <c r="O492" i="23"/>
  <c r="O446" i="23"/>
  <c r="O302" i="23"/>
  <c r="O454" i="23"/>
  <c r="O495" i="23"/>
  <c r="O370" i="23"/>
  <c r="O38" i="23"/>
  <c r="O184" i="23"/>
  <c r="O419" i="23"/>
  <c r="O113" i="23"/>
  <c r="O416" i="23"/>
  <c r="O68" i="23"/>
  <c r="O31" i="23"/>
  <c r="O174" i="23"/>
  <c r="O23" i="23"/>
  <c r="O477" i="23"/>
  <c r="O414" i="23"/>
  <c r="O401" i="23"/>
  <c r="O316" i="23"/>
  <c r="O106" i="23"/>
  <c r="O251" i="23"/>
  <c r="O296" i="23"/>
  <c r="O257" i="23"/>
  <c r="O126" i="23"/>
  <c r="O249" i="23"/>
  <c r="O240" i="23"/>
  <c r="O500" i="23"/>
  <c r="O451" i="23"/>
  <c r="O219" i="23"/>
  <c r="O312" i="23"/>
  <c r="O374" i="23"/>
  <c r="O21" i="23"/>
  <c r="O449" i="23"/>
  <c r="O433" i="23"/>
  <c r="O215" i="23"/>
  <c r="O175" i="23"/>
  <c r="O131" i="23"/>
  <c r="O231" i="23"/>
  <c r="O29" i="23"/>
  <c r="O427" i="23"/>
  <c r="O22" i="23"/>
  <c r="O149" i="23"/>
  <c r="O463" i="23"/>
  <c r="O366" i="23"/>
  <c r="O133" i="23"/>
  <c r="O123" i="23"/>
  <c r="O8" i="23"/>
  <c r="O346" i="23"/>
  <c r="O32" i="23"/>
  <c r="O262" i="23"/>
  <c r="O483" i="23"/>
  <c r="O64" i="23"/>
  <c r="O448" i="23"/>
  <c r="O498" i="23"/>
  <c r="O37" i="23"/>
  <c r="O444" i="23"/>
  <c r="O250" i="23"/>
  <c r="O455" i="23"/>
  <c r="O280" i="23"/>
  <c r="O334" i="23"/>
  <c r="O270" i="23"/>
  <c r="O435" i="23"/>
  <c r="O365" i="23"/>
  <c r="O253" i="23"/>
  <c r="O438" i="23"/>
  <c r="O118" i="23"/>
  <c r="O82" i="23"/>
  <c r="O85" i="23"/>
  <c r="O152" i="23"/>
  <c r="O117" i="23"/>
  <c r="O462" i="23"/>
  <c r="O61" i="23"/>
  <c r="O348" i="23"/>
  <c r="O98" i="23"/>
  <c r="O442" i="23"/>
  <c r="O481" i="23"/>
  <c r="O221" i="23"/>
  <c r="O441" i="23"/>
  <c r="O9" i="23"/>
  <c r="O407" i="23"/>
  <c r="O111" i="23"/>
  <c r="O457" i="23"/>
  <c r="O4" i="23"/>
  <c r="O273" i="23"/>
  <c r="O377" i="23"/>
  <c r="O124" i="23"/>
  <c r="O100" i="23"/>
  <c r="O50" i="23"/>
  <c r="O147" i="23"/>
  <c r="O275" i="23"/>
  <c r="O67" i="23"/>
  <c r="O169" i="23"/>
  <c r="O12" i="23"/>
  <c r="O405" i="23"/>
  <c r="O72" i="23"/>
  <c r="O134" i="23"/>
  <c r="O16" i="23"/>
  <c r="O201" i="23"/>
  <c r="O422" i="23"/>
  <c r="O177" i="23"/>
  <c r="O93" i="23"/>
  <c r="O376" i="23"/>
  <c r="O395" i="23"/>
  <c r="O91" i="23"/>
  <c r="O383" i="23"/>
  <c r="O468" i="23"/>
  <c r="O90" i="23"/>
  <c r="O386" i="23"/>
  <c r="O351" i="23"/>
  <c r="O229" i="23"/>
  <c r="O36" i="23"/>
  <c r="O45" i="23"/>
  <c r="O428" i="23"/>
  <c r="O496" i="23"/>
  <c r="O339" i="23"/>
  <c r="O210" i="23"/>
  <c r="O324" i="23"/>
  <c r="O294" i="23"/>
  <c r="O171" i="23"/>
  <c r="O39" i="23"/>
  <c r="O409" i="23"/>
  <c r="O167" i="23"/>
  <c r="O406" i="23"/>
  <c r="O121" i="23"/>
  <c r="O3" i="23"/>
  <c r="O83" i="23"/>
  <c r="O224" i="23"/>
  <c r="O467" i="23"/>
  <c r="O58" i="23"/>
  <c r="O430" i="23"/>
  <c r="O258" i="23"/>
  <c r="O413" i="23"/>
  <c r="O138" i="23"/>
  <c r="O421" i="23"/>
  <c r="O387" i="23"/>
  <c r="O112" i="23"/>
  <c r="O73" i="23"/>
  <c r="O436" i="23"/>
  <c r="O484" i="23"/>
  <c r="O19" i="23"/>
  <c r="O362" i="23"/>
  <c r="O458" i="23"/>
  <c r="O431" i="23"/>
  <c r="O485" i="23"/>
  <c r="O381" i="23"/>
  <c r="O209" i="23"/>
  <c r="O140" i="23"/>
  <c r="O144" i="23"/>
  <c r="O359" i="23"/>
  <c r="O373" i="23"/>
  <c r="O101" i="23"/>
  <c r="O437" i="23"/>
  <c r="O352" i="23"/>
  <c r="O277" i="23"/>
  <c r="O227" i="23"/>
  <c r="O268" i="23"/>
  <c r="O84" i="23"/>
  <c r="O104" i="23"/>
  <c r="O54" i="23"/>
  <c r="O80" i="23"/>
  <c r="O213" i="23"/>
  <c r="O261" i="23"/>
  <c r="O14" i="23"/>
  <c r="O399" i="23"/>
  <c r="O136" i="23"/>
  <c r="O460" i="23"/>
  <c r="O486" i="23"/>
  <c r="O96" i="23"/>
  <c r="O218" i="23"/>
  <c r="O5" i="23"/>
  <c r="O300" i="23"/>
  <c r="O306" i="23"/>
  <c r="O119" i="23"/>
  <c r="O274" i="23"/>
  <c r="O110" i="23"/>
  <c r="O86" i="23"/>
  <c r="O327" i="23"/>
  <c r="O146" i="23"/>
  <c r="O291" i="23"/>
  <c r="O202" i="23"/>
  <c r="O493" i="23"/>
  <c r="O79" i="23"/>
  <c r="O220" i="23"/>
  <c r="O340" i="23"/>
  <c r="O179" i="23"/>
  <c r="O489" i="23"/>
  <c r="O356" i="23"/>
  <c r="O331" i="23"/>
  <c r="O378" i="23"/>
  <c r="O473" i="23"/>
  <c r="O456" i="23"/>
  <c r="O358" i="23"/>
  <c r="O375" i="23"/>
  <c r="O78" i="23"/>
  <c r="O59" i="23"/>
  <c r="O279" i="23"/>
  <c r="O15" i="23"/>
  <c r="O236" i="23"/>
  <c r="O105" i="23"/>
  <c r="O157" i="23"/>
  <c r="O389" i="23"/>
  <c r="O466" i="23"/>
  <c r="O44" i="23"/>
  <c r="O264" i="23"/>
  <c r="O443" i="23"/>
  <c r="O49" i="23"/>
  <c r="O411" i="23"/>
  <c r="O161" i="23"/>
  <c r="O145" i="23"/>
  <c r="O490" i="23"/>
  <c r="O102" i="23"/>
  <c r="O345" i="23"/>
  <c r="O408" i="23"/>
  <c r="O26" i="23"/>
  <c r="O338" i="23"/>
  <c r="O472" i="23"/>
  <c r="O70" i="23"/>
  <c r="O450" i="23"/>
  <c r="O295" i="23"/>
  <c r="O311" i="23"/>
  <c r="O309" i="23"/>
  <c r="O139" i="23"/>
  <c r="O465" i="23"/>
  <c r="O469" i="23"/>
  <c r="O314" i="23"/>
  <c r="O393" i="23"/>
  <c r="O308" i="23"/>
  <c r="O238" i="23"/>
  <c r="O332" i="23"/>
  <c r="O271" i="23"/>
  <c r="O297" i="23"/>
  <c r="O394" i="23"/>
  <c r="O234" i="23"/>
  <c r="O25" i="23"/>
  <c r="O89" i="23"/>
  <c r="O206" i="23"/>
  <c r="O360" i="23"/>
  <c r="O293" i="23"/>
  <c r="O326" i="23"/>
  <c r="O232" i="23"/>
  <c r="O310" i="23"/>
  <c r="O148" i="23"/>
  <c r="O225" i="23"/>
  <c r="O371" i="23"/>
  <c r="O439" i="23"/>
  <c r="O203" i="23"/>
  <c r="O27" i="23"/>
  <c r="O87" i="23"/>
  <c r="O17" i="23"/>
  <c r="O329" i="23"/>
  <c r="O151" i="23"/>
  <c r="O267" i="23"/>
  <c r="O241" i="23"/>
  <c r="O48" i="23"/>
  <c r="O186" i="23"/>
  <c r="O109" i="23"/>
  <c r="O196" i="23"/>
  <c r="O103" i="23"/>
  <c r="O423" i="23"/>
  <c r="O92" i="23"/>
  <c r="O480" i="23"/>
  <c r="O194" i="23"/>
  <c r="O425" i="23"/>
  <c r="O315" i="23"/>
  <c r="O367" i="23"/>
  <c r="O382" i="23"/>
  <c r="O245" i="23"/>
  <c r="O269" i="23"/>
  <c r="O248" i="23"/>
  <c r="O286" i="23"/>
  <c r="O18" i="23"/>
  <c r="O178" i="23"/>
  <c r="O305" i="23"/>
  <c r="O298" i="23"/>
  <c r="O397" i="23"/>
  <c r="O330" i="23"/>
  <c r="O499" i="23"/>
  <c r="O135" i="23"/>
  <c r="O162" i="23"/>
  <c r="O172" i="23"/>
  <c r="O222" i="23"/>
  <c r="O417" i="23"/>
  <c r="O115" i="23"/>
  <c r="O390" i="23"/>
  <c r="O191" i="23"/>
  <c r="O303" i="23"/>
  <c r="O317" i="23"/>
  <c r="O168" i="23"/>
  <c r="O247" i="23"/>
  <c r="O193" i="23"/>
  <c r="O42" i="23"/>
  <c r="O204" i="23"/>
  <c r="O57" i="23"/>
  <c r="O189" i="23"/>
  <c r="O292" i="23"/>
  <c r="O283" i="23"/>
  <c r="O335" i="23"/>
  <c r="O56" i="23"/>
  <c r="O328" i="23"/>
  <c r="O141" i="23"/>
  <c r="O183" i="23"/>
  <c r="O432" i="23"/>
  <c r="O11" i="23"/>
  <c r="O288" i="23"/>
  <c r="O301" i="23"/>
  <c r="O181" i="23"/>
  <c r="O116" i="23"/>
  <c r="O114" i="23"/>
  <c r="O445" i="23"/>
  <c r="O208" i="23"/>
  <c r="O150" i="23"/>
  <c r="O211" i="23"/>
  <c r="O336" i="23"/>
  <c r="O77" i="23"/>
  <c r="O212" i="23"/>
  <c r="O285" i="23"/>
  <c r="O470" i="23"/>
  <c r="O122" i="23"/>
  <c r="O163" i="23"/>
  <c r="O170" i="23"/>
  <c r="O304" i="23"/>
  <c r="O160" i="23"/>
  <c r="O263" i="23"/>
  <c r="O392" i="23"/>
  <c r="O350" i="23"/>
  <c r="N412" i="23"/>
  <c r="N165" i="23"/>
  <c r="N20" i="23"/>
  <c r="N415" i="23"/>
  <c r="N156" i="23"/>
  <c r="N388" i="23"/>
  <c r="N164" i="23"/>
  <c r="N434" i="23"/>
  <c r="N108" i="23"/>
  <c r="N488" i="23"/>
  <c r="N391" i="23"/>
  <c r="N65" i="23"/>
  <c r="N278" i="23"/>
  <c r="N494" i="23"/>
  <c r="N226" i="23"/>
  <c r="N94" i="23"/>
  <c r="N239" i="23"/>
  <c r="N246" i="23"/>
  <c r="N369" i="23"/>
  <c r="N347" i="23"/>
  <c r="N185" i="23"/>
  <c r="N107" i="23"/>
  <c r="N322" i="23"/>
  <c r="N197" i="23"/>
  <c r="N74" i="23"/>
  <c r="N452" i="23"/>
  <c r="N343" i="23"/>
  <c r="N341" i="23"/>
  <c r="N410" i="23"/>
  <c r="N259" i="23"/>
  <c r="N404" i="23"/>
  <c r="N244" i="23"/>
  <c r="N40" i="23"/>
  <c r="N190" i="23"/>
  <c r="N243" i="23"/>
  <c r="N354" i="23"/>
  <c r="N62" i="23"/>
  <c r="N76" i="23"/>
  <c r="N127" i="23"/>
  <c r="N128" i="23"/>
  <c r="N363" i="23"/>
  <c r="N120" i="23"/>
  <c r="N318" i="23"/>
  <c r="N242" i="23"/>
  <c r="N282" i="23"/>
  <c r="N420" i="23"/>
  <c r="N187" i="23"/>
  <c r="N384" i="23"/>
  <c r="N199" i="23"/>
  <c r="N159" i="23"/>
  <c r="N479" i="23"/>
  <c r="N95" i="23"/>
  <c r="N53" i="23"/>
  <c r="N385" i="23"/>
  <c r="N41" i="23"/>
  <c r="N418" i="23"/>
  <c r="N205" i="23"/>
  <c r="N461" i="23"/>
  <c r="N355" i="23"/>
  <c r="N307" i="23"/>
  <c r="N471" i="23"/>
  <c r="N180" i="23"/>
  <c r="N474" i="23"/>
  <c r="N75" i="23"/>
  <c r="N237" i="23"/>
  <c r="N129" i="23"/>
  <c r="N266" i="23"/>
  <c r="N88" i="23"/>
  <c r="N424" i="23"/>
  <c r="N426" i="23"/>
  <c r="N475" i="23"/>
  <c r="N81" i="23"/>
  <c r="N313" i="23"/>
  <c r="N230" i="23"/>
  <c r="N155" i="23"/>
  <c r="N158" i="23"/>
  <c r="N192" i="23"/>
  <c r="N349" i="23"/>
  <c r="N299" i="23"/>
  <c r="N216" i="23"/>
  <c r="N46" i="23"/>
  <c r="N47" i="23"/>
  <c r="N6" i="23"/>
  <c r="N487" i="23"/>
  <c r="N10" i="23"/>
  <c r="N60" i="23"/>
  <c r="N143" i="23"/>
  <c r="N403" i="23"/>
  <c r="N482" i="23"/>
  <c r="N396" i="23"/>
  <c r="N342" i="23"/>
  <c r="N254" i="23"/>
  <c r="N51" i="23"/>
  <c r="N478" i="23"/>
  <c r="N379" i="23"/>
  <c r="N320" i="23"/>
  <c r="N380" i="23"/>
  <c r="N357" i="23"/>
  <c r="N319" i="23"/>
  <c r="N491" i="23"/>
  <c r="N453" i="23"/>
  <c r="N323" i="23"/>
  <c r="N344" i="23"/>
  <c r="N33" i="23"/>
  <c r="N337" i="23"/>
  <c r="N28" i="23"/>
  <c r="N287" i="23"/>
  <c r="N501" i="23"/>
  <c r="N272" i="23"/>
  <c r="N228" i="23"/>
  <c r="N142" i="23"/>
  <c r="N69" i="23"/>
  <c r="N361" i="23"/>
  <c r="N99" i="23"/>
  <c r="N66" i="23"/>
  <c r="N198" i="23"/>
  <c r="N398" i="23"/>
  <c r="N372" i="23"/>
  <c r="N35" i="23"/>
  <c r="N214" i="23"/>
  <c r="N255" i="23"/>
  <c r="N321" i="23"/>
  <c r="N325" i="23"/>
  <c r="N166" i="23"/>
  <c r="N276" i="23"/>
  <c r="N235" i="23"/>
  <c r="N447" i="23"/>
  <c r="N260" i="23"/>
  <c r="N207" i="23"/>
  <c r="N188" i="23"/>
  <c r="N281" i="23"/>
  <c r="N402" i="23"/>
  <c r="N265" i="23"/>
  <c r="N333" i="23"/>
  <c r="N368" i="23"/>
  <c r="N252" i="23"/>
  <c r="N200" i="23"/>
  <c r="N440" i="23"/>
  <c r="N195" i="23"/>
  <c r="N217" i="23"/>
  <c r="N497" i="23"/>
  <c r="N2" i="23"/>
  <c r="N97" i="23"/>
  <c r="N173" i="23"/>
  <c r="N464" i="23"/>
  <c r="N43" i="23"/>
  <c r="N13" i="23"/>
  <c r="N34" i="23"/>
  <c r="N52" i="23"/>
  <c r="N24" i="23"/>
  <c r="N233" i="23"/>
  <c r="N284" i="23"/>
  <c r="N130" i="23"/>
  <c r="N182" i="23"/>
  <c r="N55" i="23"/>
  <c r="N154" i="23"/>
  <c r="N256" i="23"/>
  <c r="N364" i="23"/>
  <c r="N7" i="23"/>
  <c r="N223" i="23"/>
  <c r="N137" i="23"/>
  <c r="N429" i="23"/>
  <c r="N353" i="23"/>
  <c r="N290" i="23"/>
  <c r="N132" i="23"/>
  <c r="N459" i="23"/>
  <c r="N30" i="23"/>
  <c r="N63" i="23"/>
  <c r="N176" i="23"/>
  <c r="N71" i="23"/>
  <c r="N476" i="23"/>
  <c r="N400" i="23"/>
  <c r="N125" i="23"/>
  <c r="N289" i="23"/>
  <c r="N492" i="23"/>
  <c r="N446" i="23"/>
  <c r="N302" i="23"/>
  <c r="N454" i="23"/>
  <c r="N495" i="23"/>
  <c r="N370" i="23"/>
  <c r="N38" i="23"/>
  <c r="N184" i="23"/>
  <c r="N419" i="23"/>
  <c r="N113" i="23"/>
  <c r="N416" i="23"/>
  <c r="N68" i="23"/>
  <c r="N31" i="23"/>
  <c r="N174" i="23"/>
  <c r="N23" i="23"/>
  <c r="N477" i="23"/>
  <c r="N414" i="23"/>
  <c r="N401" i="23"/>
  <c r="N316" i="23"/>
  <c r="N106" i="23"/>
  <c r="N251" i="23"/>
  <c r="N296" i="23"/>
  <c r="N257" i="23"/>
  <c r="N126" i="23"/>
  <c r="N249" i="23"/>
  <c r="N240" i="23"/>
  <c r="N500" i="23"/>
  <c r="N451" i="23"/>
  <c r="N219" i="23"/>
  <c r="N312" i="23"/>
  <c r="N374" i="23"/>
  <c r="N21" i="23"/>
  <c r="N449" i="23"/>
  <c r="N433" i="23"/>
  <c r="N215" i="23"/>
  <c r="N175" i="23"/>
  <c r="N131" i="23"/>
  <c r="N231" i="23"/>
  <c r="N29" i="23"/>
  <c r="N427" i="23"/>
  <c r="N22" i="23"/>
  <c r="N149" i="23"/>
  <c r="N463" i="23"/>
  <c r="N366" i="23"/>
  <c r="N133" i="23"/>
  <c r="N123" i="23"/>
  <c r="N8" i="23"/>
  <c r="N346" i="23"/>
  <c r="N32" i="23"/>
  <c r="N262" i="23"/>
  <c r="N483" i="23"/>
  <c r="N64" i="23"/>
  <c r="N448" i="23"/>
  <c r="N498" i="23"/>
  <c r="N37" i="23"/>
  <c r="N444" i="23"/>
  <c r="N250" i="23"/>
  <c r="N455" i="23"/>
  <c r="N280" i="23"/>
  <c r="N334" i="23"/>
  <c r="N270" i="23"/>
  <c r="N435" i="23"/>
  <c r="N365" i="23"/>
  <c r="N253" i="23"/>
  <c r="N438" i="23"/>
  <c r="N118" i="23"/>
  <c r="N82" i="23"/>
  <c r="N85" i="23"/>
  <c r="N152" i="23"/>
  <c r="N117" i="23"/>
  <c r="N462" i="23"/>
  <c r="N61" i="23"/>
  <c r="N348" i="23"/>
  <c r="N98" i="23"/>
  <c r="N442" i="23"/>
  <c r="N481" i="23"/>
  <c r="N221" i="23"/>
  <c r="N441" i="23"/>
  <c r="N9" i="23"/>
  <c r="N407" i="23"/>
  <c r="N111" i="23"/>
  <c r="N457" i="23"/>
  <c r="N4" i="23"/>
  <c r="N273" i="23"/>
  <c r="N377" i="23"/>
  <c r="N124" i="23"/>
  <c r="N100" i="23"/>
  <c r="N50" i="23"/>
  <c r="N147" i="23"/>
  <c r="N275" i="23"/>
  <c r="N67" i="23"/>
  <c r="N169" i="23"/>
  <c r="N12" i="23"/>
  <c r="N405" i="23"/>
  <c r="N72" i="23"/>
  <c r="N134" i="23"/>
  <c r="N16" i="23"/>
  <c r="N201" i="23"/>
  <c r="N422" i="23"/>
  <c r="N177" i="23"/>
  <c r="N93" i="23"/>
  <c r="N376" i="23"/>
  <c r="N395" i="23"/>
  <c r="N91" i="23"/>
  <c r="N383" i="23"/>
  <c r="N468" i="23"/>
  <c r="N90" i="23"/>
  <c r="N386" i="23"/>
  <c r="N351" i="23"/>
  <c r="N229" i="23"/>
  <c r="N36" i="23"/>
  <c r="N45" i="23"/>
  <c r="N428" i="23"/>
  <c r="N496" i="23"/>
  <c r="N339" i="23"/>
  <c r="N210" i="23"/>
  <c r="N324" i="23"/>
  <c r="N294" i="23"/>
  <c r="N171" i="23"/>
  <c r="N39" i="23"/>
  <c r="N409" i="23"/>
  <c r="N167" i="23"/>
  <c r="N406" i="23"/>
  <c r="N121" i="23"/>
  <c r="N3" i="23"/>
  <c r="N83" i="23"/>
  <c r="N224" i="23"/>
  <c r="N467" i="23"/>
  <c r="N58" i="23"/>
  <c r="N430" i="23"/>
  <c r="N258" i="23"/>
  <c r="N413" i="23"/>
  <c r="N138" i="23"/>
  <c r="N421" i="23"/>
  <c r="N387" i="23"/>
  <c r="N112" i="23"/>
  <c r="N73" i="23"/>
  <c r="N436" i="23"/>
  <c r="N484" i="23"/>
  <c r="N19" i="23"/>
  <c r="N362" i="23"/>
  <c r="N458" i="23"/>
  <c r="N431" i="23"/>
  <c r="N485" i="23"/>
  <c r="N381" i="23"/>
  <c r="N209" i="23"/>
  <c r="N140" i="23"/>
  <c r="N144" i="23"/>
  <c r="N359" i="23"/>
  <c r="N373" i="23"/>
  <c r="N101" i="23"/>
  <c r="N437" i="23"/>
  <c r="N352" i="23"/>
  <c r="N277" i="23"/>
  <c r="N227" i="23"/>
  <c r="N268" i="23"/>
  <c r="N84" i="23"/>
  <c r="N104" i="23"/>
  <c r="N54" i="23"/>
  <c r="N80" i="23"/>
  <c r="N213" i="23"/>
  <c r="N261" i="23"/>
  <c r="N14" i="23"/>
  <c r="N399" i="23"/>
  <c r="N136" i="23"/>
  <c r="N460" i="23"/>
  <c r="N486" i="23"/>
  <c r="N96" i="23"/>
  <c r="N218" i="23"/>
  <c r="N5" i="23"/>
  <c r="N300" i="23"/>
  <c r="N306" i="23"/>
  <c r="N119" i="23"/>
  <c r="N274" i="23"/>
  <c r="N110" i="23"/>
  <c r="N86" i="23"/>
  <c r="N327" i="23"/>
  <c r="N146" i="23"/>
  <c r="N291" i="23"/>
  <c r="N202" i="23"/>
  <c r="N493" i="23"/>
  <c r="N79" i="23"/>
  <c r="N220" i="23"/>
  <c r="N340" i="23"/>
  <c r="N179" i="23"/>
  <c r="N489" i="23"/>
  <c r="N356" i="23"/>
  <c r="N331" i="23"/>
  <c r="N378" i="23"/>
  <c r="N473" i="23"/>
  <c r="N456" i="23"/>
  <c r="N358" i="23"/>
  <c r="N375" i="23"/>
  <c r="N78" i="23"/>
  <c r="N59" i="23"/>
  <c r="N279" i="23"/>
  <c r="N15" i="23"/>
  <c r="N236" i="23"/>
  <c r="N105" i="23"/>
  <c r="N157" i="23"/>
  <c r="N389" i="23"/>
  <c r="N466" i="23"/>
  <c r="N44" i="23"/>
  <c r="N264" i="23"/>
  <c r="N443" i="23"/>
  <c r="N49" i="23"/>
  <c r="N411" i="23"/>
  <c r="N161" i="23"/>
  <c r="N145" i="23"/>
  <c r="N490" i="23"/>
  <c r="N102" i="23"/>
  <c r="N345" i="23"/>
  <c r="N408" i="23"/>
  <c r="N26" i="23"/>
  <c r="N338" i="23"/>
  <c r="N472" i="23"/>
  <c r="N70" i="23"/>
  <c r="N450" i="23"/>
  <c r="N295" i="23"/>
  <c r="N311" i="23"/>
  <c r="N309" i="23"/>
  <c r="N139" i="23"/>
  <c r="N465" i="23"/>
  <c r="N469" i="23"/>
  <c r="N314" i="23"/>
  <c r="N393" i="23"/>
  <c r="N308" i="23"/>
  <c r="N238" i="23"/>
  <c r="N332" i="23"/>
  <c r="N271" i="23"/>
  <c r="N297" i="23"/>
  <c r="N394" i="23"/>
  <c r="N234" i="23"/>
  <c r="N25" i="23"/>
  <c r="N89" i="23"/>
  <c r="N206" i="23"/>
  <c r="N360" i="23"/>
  <c r="N293" i="23"/>
  <c r="N326" i="23"/>
  <c r="N232" i="23"/>
  <c r="N310" i="23"/>
  <c r="N148" i="23"/>
  <c r="N225" i="23"/>
  <c r="N371" i="23"/>
  <c r="N439" i="23"/>
  <c r="N203" i="23"/>
  <c r="N27" i="23"/>
  <c r="N87" i="23"/>
  <c r="N17" i="23"/>
  <c r="N329" i="23"/>
  <c r="N151" i="23"/>
  <c r="N267" i="23"/>
  <c r="N241" i="23"/>
  <c r="N48" i="23"/>
  <c r="N186" i="23"/>
  <c r="N109" i="23"/>
  <c r="N196" i="23"/>
  <c r="N103" i="23"/>
  <c r="N423" i="23"/>
  <c r="N92" i="23"/>
  <c r="N480" i="23"/>
  <c r="N194" i="23"/>
  <c r="N425" i="23"/>
  <c r="N315" i="23"/>
  <c r="N367" i="23"/>
  <c r="N382" i="23"/>
  <c r="N245" i="23"/>
  <c r="N269" i="23"/>
  <c r="N248" i="23"/>
  <c r="N286" i="23"/>
  <c r="N18" i="23"/>
  <c r="N178" i="23"/>
  <c r="N305" i="23"/>
  <c r="N298" i="23"/>
  <c r="N397" i="23"/>
  <c r="N330" i="23"/>
  <c r="N499" i="23"/>
  <c r="N135" i="23"/>
  <c r="N162" i="23"/>
  <c r="N172" i="23"/>
  <c r="N222" i="23"/>
  <c r="N417" i="23"/>
  <c r="N115" i="23"/>
  <c r="N390" i="23"/>
  <c r="N191" i="23"/>
  <c r="N303" i="23"/>
  <c r="N317" i="23"/>
  <c r="N168" i="23"/>
  <c r="N247" i="23"/>
  <c r="N193" i="23"/>
  <c r="N42" i="23"/>
  <c r="N204" i="23"/>
  <c r="N57" i="23"/>
  <c r="N189" i="23"/>
  <c r="N292" i="23"/>
  <c r="N283" i="23"/>
  <c r="N335" i="23"/>
  <c r="N56" i="23"/>
  <c r="N328" i="23"/>
  <c r="N141" i="23"/>
  <c r="N183" i="23"/>
  <c r="N432" i="23"/>
  <c r="N11" i="23"/>
  <c r="N288" i="23"/>
  <c r="N301" i="23"/>
  <c r="N181" i="23"/>
  <c r="N116" i="23"/>
  <c r="N114" i="23"/>
  <c r="N445" i="23"/>
  <c r="N208" i="23"/>
  <c r="N150" i="23"/>
  <c r="N211" i="23"/>
  <c r="N336" i="23"/>
  <c r="N77" i="23"/>
  <c r="N212" i="23"/>
  <c r="N285" i="23"/>
  <c r="N470" i="23"/>
  <c r="N122" i="23"/>
  <c r="N163" i="23"/>
  <c r="N170" i="23"/>
  <c r="N304" i="23"/>
  <c r="N160" i="23"/>
  <c r="N263" i="23"/>
  <c r="N392" i="23"/>
  <c r="N350" i="23"/>
  <c r="O153" i="23"/>
  <c r="N153" i="23"/>
  <c r="M350" i="23"/>
  <c r="M392" i="23"/>
  <c r="M263" i="23"/>
  <c r="M160" i="23"/>
  <c r="M304" i="23"/>
  <c r="M170" i="23"/>
  <c r="M163" i="23"/>
  <c r="M122" i="23"/>
  <c r="M470" i="23"/>
  <c r="M285" i="23"/>
  <c r="M212" i="23"/>
  <c r="M77" i="23"/>
  <c r="M336" i="23"/>
  <c r="M211" i="23"/>
  <c r="M150" i="23"/>
  <c r="M208" i="23"/>
  <c r="M445" i="23"/>
  <c r="M114" i="23"/>
  <c r="M116" i="23"/>
  <c r="M181" i="23"/>
  <c r="M301" i="23"/>
  <c r="M288" i="23"/>
  <c r="M11" i="23"/>
  <c r="M432" i="23"/>
  <c r="M183" i="23"/>
  <c r="M141" i="23"/>
  <c r="M328" i="23"/>
  <c r="M56" i="23"/>
  <c r="M335" i="23"/>
  <c r="M283" i="23"/>
  <c r="M292" i="23"/>
  <c r="M189" i="23"/>
  <c r="M57" i="23"/>
  <c r="M204" i="23"/>
  <c r="M42" i="23"/>
  <c r="M193" i="23"/>
  <c r="M247" i="23"/>
  <c r="M168" i="23"/>
  <c r="M317" i="23"/>
  <c r="M303" i="23"/>
  <c r="M191" i="23"/>
  <c r="M390" i="23"/>
  <c r="M115" i="23"/>
  <c r="M417" i="23"/>
  <c r="M222" i="23"/>
  <c r="M172" i="23"/>
  <c r="M162" i="23"/>
  <c r="M135" i="23"/>
  <c r="M499" i="23"/>
  <c r="M330" i="23"/>
  <c r="M397" i="23"/>
  <c r="M298" i="23"/>
  <c r="M305" i="23"/>
  <c r="M178" i="23"/>
  <c r="M18" i="23"/>
  <c r="M286" i="23"/>
  <c r="M248" i="23"/>
  <c r="M269" i="23"/>
  <c r="M245" i="23"/>
  <c r="M382" i="23"/>
  <c r="M367" i="23"/>
  <c r="M315" i="23"/>
  <c r="M425" i="23"/>
  <c r="M194" i="23"/>
  <c r="M480" i="23"/>
  <c r="M92" i="23"/>
  <c r="M423" i="23"/>
  <c r="M103" i="23"/>
  <c r="M196" i="23"/>
  <c r="M109" i="23"/>
  <c r="M186" i="23"/>
  <c r="M48" i="23"/>
  <c r="M241" i="23"/>
  <c r="M267" i="23"/>
  <c r="M151" i="23"/>
  <c r="M329" i="23"/>
  <c r="M17" i="23"/>
  <c r="M87" i="23"/>
  <c r="M27" i="23"/>
  <c r="M203" i="23"/>
  <c r="M439" i="23"/>
  <c r="M371" i="23"/>
  <c r="M225" i="23"/>
  <c r="M148" i="23"/>
  <c r="M310" i="23"/>
  <c r="M232" i="23"/>
  <c r="M326" i="23"/>
  <c r="M293" i="23"/>
  <c r="M360" i="23"/>
  <c r="M206" i="23"/>
  <c r="M89" i="23"/>
  <c r="M25" i="23"/>
  <c r="M234" i="23"/>
  <c r="M394" i="23"/>
  <c r="M297" i="23"/>
  <c r="M271" i="23"/>
  <c r="M332" i="23"/>
  <c r="M238" i="23"/>
  <c r="M308" i="23"/>
  <c r="M393" i="23"/>
  <c r="M314" i="23"/>
  <c r="M469" i="23"/>
  <c r="M465" i="23"/>
  <c r="M139" i="23"/>
  <c r="M309" i="23"/>
  <c r="M311" i="23"/>
  <c r="M295" i="23"/>
  <c r="M450" i="23"/>
  <c r="M70" i="23"/>
  <c r="M472" i="23"/>
  <c r="M338" i="23"/>
  <c r="M26" i="23"/>
  <c r="M408" i="23"/>
  <c r="M345" i="23"/>
  <c r="M102" i="23"/>
  <c r="M490" i="23"/>
  <c r="M145" i="23"/>
  <c r="M161" i="23"/>
  <c r="M411" i="23"/>
  <c r="M49" i="23"/>
  <c r="M443" i="23"/>
  <c r="M264" i="23"/>
  <c r="M44" i="23"/>
  <c r="M466" i="23"/>
  <c r="M389" i="23"/>
  <c r="M157" i="23"/>
  <c r="M105" i="23"/>
  <c r="M236" i="23"/>
  <c r="M15" i="23"/>
  <c r="M279" i="23"/>
  <c r="M59" i="23"/>
  <c r="M78" i="23"/>
  <c r="M375" i="23"/>
  <c r="M358" i="23"/>
  <c r="M456" i="23"/>
  <c r="M473" i="23"/>
  <c r="M378" i="23"/>
  <c r="M331" i="23"/>
  <c r="M356" i="23"/>
  <c r="M489" i="23"/>
  <c r="M179" i="23"/>
  <c r="M340" i="23"/>
  <c r="M220" i="23"/>
  <c r="M79" i="23"/>
  <c r="M493" i="23"/>
  <c r="M202" i="23"/>
  <c r="M291" i="23"/>
  <c r="M146" i="23"/>
  <c r="M327" i="23"/>
  <c r="M86" i="23"/>
  <c r="M110" i="23"/>
  <c r="M274" i="23"/>
  <c r="M119" i="23"/>
  <c r="M306" i="23"/>
  <c r="M300" i="23"/>
  <c r="M5" i="23"/>
  <c r="M218" i="23"/>
  <c r="M96" i="23"/>
  <c r="M486" i="23"/>
  <c r="M460" i="23"/>
  <c r="M136" i="23"/>
  <c r="M399" i="23"/>
  <c r="M14" i="23"/>
  <c r="M261" i="23"/>
  <c r="M213" i="23"/>
  <c r="M80" i="23"/>
  <c r="M54" i="23"/>
  <c r="M104" i="23"/>
  <c r="M84" i="23"/>
  <c r="M268" i="23"/>
  <c r="M227" i="23"/>
  <c r="M277" i="23"/>
  <c r="M352" i="23"/>
  <c r="M437" i="23"/>
  <c r="M101" i="23"/>
  <c r="M373" i="23"/>
  <c r="M359" i="23"/>
  <c r="M144" i="23"/>
  <c r="M140" i="23"/>
  <c r="M209" i="23"/>
  <c r="M381" i="23"/>
  <c r="M485" i="23"/>
  <c r="M431" i="23"/>
  <c r="M458" i="23"/>
  <c r="M362" i="23"/>
  <c r="M19" i="23"/>
  <c r="M484" i="23"/>
  <c r="M436" i="23"/>
  <c r="M73" i="23"/>
  <c r="M112" i="23"/>
  <c r="M387" i="23"/>
  <c r="M421" i="23"/>
  <c r="M138" i="23"/>
  <c r="M413" i="23"/>
  <c r="M258" i="23"/>
  <c r="M430" i="23"/>
  <c r="M58" i="23"/>
  <c r="M467" i="23"/>
  <c r="M224" i="23"/>
  <c r="M83" i="23"/>
  <c r="M3" i="23"/>
  <c r="M121" i="23"/>
  <c r="M406" i="23"/>
  <c r="M167" i="23"/>
  <c r="M409" i="23"/>
  <c r="M39" i="23"/>
  <c r="M171" i="23"/>
  <c r="M294" i="23"/>
  <c r="M324" i="23"/>
  <c r="M210" i="23"/>
  <c r="M339" i="23"/>
  <c r="M496" i="23"/>
  <c r="M428" i="23"/>
  <c r="M45" i="23"/>
  <c r="M36" i="23"/>
  <c r="M229" i="23"/>
  <c r="M351" i="23"/>
  <c r="M386" i="23"/>
  <c r="M90" i="23"/>
  <c r="M468" i="23"/>
  <c r="M383" i="23"/>
  <c r="M91" i="23"/>
  <c r="M395" i="23"/>
  <c r="M376" i="23"/>
  <c r="M93" i="23"/>
  <c r="M177" i="23"/>
  <c r="M422" i="23"/>
  <c r="M201" i="23"/>
  <c r="M16" i="23"/>
  <c r="M134" i="23"/>
  <c r="M72" i="23"/>
  <c r="M405" i="23"/>
  <c r="M12" i="23"/>
  <c r="M169" i="23"/>
  <c r="M67" i="23"/>
  <c r="M275" i="23"/>
  <c r="M147" i="23"/>
  <c r="M50" i="23"/>
  <c r="M100" i="23"/>
  <c r="M124" i="23"/>
  <c r="M377" i="23"/>
  <c r="M273" i="23"/>
  <c r="M4" i="23"/>
  <c r="M457" i="23"/>
  <c r="M111" i="23"/>
  <c r="M407" i="23"/>
  <c r="M9" i="23"/>
  <c r="M441" i="23"/>
  <c r="M221" i="23"/>
  <c r="M481" i="23"/>
  <c r="M442" i="23"/>
  <c r="M98" i="23"/>
  <c r="M348" i="23"/>
  <c r="M61" i="23"/>
  <c r="M462" i="23"/>
  <c r="M117" i="23"/>
  <c r="M152" i="23"/>
  <c r="M85" i="23"/>
  <c r="M82" i="23"/>
  <c r="M118" i="23"/>
  <c r="M438" i="23"/>
  <c r="M253" i="23"/>
  <c r="M365" i="23"/>
  <c r="M435" i="23"/>
  <c r="M270" i="23"/>
  <c r="M334" i="23"/>
  <c r="M280" i="23"/>
  <c r="M455" i="23"/>
  <c r="M250" i="23"/>
  <c r="M444" i="23"/>
  <c r="M37" i="23"/>
  <c r="M498" i="23"/>
  <c r="M448" i="23"/>
  <c r="M64" i="23"/>
  <c r="M483" i="23"/>
  <c r="M262" i="23"/>
  <c r="M32" i="23"/>
  <c r="M346" i="23"/>
  <c r="M8" i="23"/>
  <c r="M123" i="23"/>
  <c r="M133" i="23"/>
  <c r="M366" i="23"/>
  <c r="M463" i="23"/>
  <c r="M149" i="23"/>
  <c r="M22" i="23"/>
  <c r="M427" i="23"/>
  <c r="M29" i="23"/>
  <c r="M231" i="23"/>
  <c r="M131" i="23"/>
  <c r="M175" i="23"/>
  <c r="M215" i="23"/>
  <c r="M433" i="23"/>
  <c r="M449" i="23"/>
  <c r="M21" i="23"/>
  <c r="M374" i="23"/>
  <c r="M312" i="23"/>
  <c r="M219" i="23"/>
  <c r="M451" i="23"/>
  <c r="M500" i="23"/>
  <c r="M240" i="23"/>
  <c r="M249" i="23"/>
  <c r="M126" i="23"/>
  <c r="M257" i="23"/>
  <c r="M296" i="23"/>
  <c r="M251" i="23"/>
  <c r="M106" i="23"/>
  <c r="M316" i="23"/>
  <c r="M401" i="23"/>
  <c r="M414" i="23"/>
  <c r="M477" i="23"/>
  <c r="M23" i="23"/>
  <c r="M174" i="23"/>
  <c r="M31" i="23"/>
  <c r="M68" i="23"/>
  <c r="M416" i="23"/>
  <c r="M113" i="23"/>
  <c r="M419" i="23"/>
  <c r="M184" i="23"/>
  <c r="M38" i="23"/>
  <c r="M370" i="23"/>
  <c r="M495" i="23"/>
  <c r="M454" i="23"/>
  <c r="M302" i="23"/>
  <c r="M446" i="23"/>
  <c r="M492" i="23"/>
  <c r="M289" i="23"/>
  <c r="M125" i="23"/>
  <c r="M400" i="23"/>
  <c r="M476" i="23"/>
  <c r="M71" i="23"/>
  <c r="M176" i="23"/>
  <c r="M63" i="23"/>
  <c r="M30" i="23"/>
  <c r="M459" i="23"/>
  <c r="M132" i="23"/>
  <c r="M290" i="23"/>
  <c r="M353" i="23"/>
  <c r="M429" i="23"/>
  <c r="M137" i="23"/>
  <c r="M223" i="23"/>
  <c r="M7" i="23"/>
  <c r="M364" i="23"/>
  <c r="M256" i="23"/>
  <c r="M154" i="23"/>
  <c r="M55" i="23"/>
  <c r="M182" i="23"/>
  <c r="M130" i="23"/>
  <c r="M284" i="23"/>
  <c r="M233" i="23"/>
  <c r="M24" i="23"/>
  <c r="M52" i="23"/>
  <c r="M34" i="23"/>
  <c r="M13" i="23"/>
  <c r="M43" i="23"/>
  <c r="M464" i="23"/>
  <c r="M173" i="23"/>
  <c r="M97" i="23"/>
  <c r="M2" i="23"/>
  <c r="M497" i="23"/>
  <c r="M217" i="23"/>
  <c r="M195" i="23"/>
  <c r="M440" i="23"/>
  <c r="M200" i="23"/>
  <c r="M252" i="23"/>
  <c r="M368" i="23"/>
  <c r="M333" i="23"/>
  <c r="M265" i="23"/>
  <c r="M402" i="23"/>
  <c r="M281" i="23"/>
  <c r="M188" i="23"/>
  <c r="M207" i="23"/>
  <c r="M260" i="23"/>
  <c r="M447" i="23"/>
  <c r="M235" i="23"/>
  <c r="M276" i="23"/>
  <c r="M166" i="23"/>
  <c r="M325" i="23"/>
  <c r="M321" i="23"/>
  <c r="M255" i="23"/>
  <c r="M214" i="23"/>
  <c r="M35" i="23"/>
  <c r="M372" i="23"/>
  <c r="M398" i="23"/>
  <c r="M198" i="23"/>
  <c r="M66" i="23"/>
  <c r="M99" i="23"/>
  <c r="M361" i="23"/>
  <c r="M69" i="23"/>
  <c r="M142" i="23"/>
  <c r="M228" i="23"/>
  <c r="M272" i="23"/>
  <c r="M501" i="23"/>
  <c r="M287" i="23"/>
  <c r="M28" i="23"/>
  <c r="M337" i="23"/>
  <c r="M33" i="23"/>
  <c r="M344" i="23"/>
  <c r="M323" i="23"/>
  <c r="M453" i="23"/>
  <c r="M491" i="23"/>
  <c r="M319" i="23"/>
  <c r="M357" i="23"/>
  <c r="M380" i="23"/>
  <c r="M320" i="23"/>
  <c r="M379" i="23"/>
  <c r="M478" i="23"/>
  <c r="M51" i="23"/>
  <c r="M254" i="23"/>
  <c r="M342" i="23"/>
  <c r="M396" i="23"/>
  <c r="M482" i="23"/>
  <c r="M403" i="23"/>
  <c r="M143" i="23"/>
  <c r="M60" i="23"/>
  <c r="M10" i="23"/>
  <c r="M487" i="23"/>
  <c r="M6" i="23"/>
  <c r="M47" i="23"/>
  <c r="M46" i="23"/>
  <c r="M216" i="23"/>
  <c r="M299" i="23"/>
  <c r="M349" i="23"/>
  <c r="M192" i="23"/>
  <c r="M158" i="23"/>
  <c r="M155" i="23"/>
  <c r="M230" i="23"/>
  <c r="M313" i="23"/>
  <c r="M81" i="23"/>
  <c r="M475" i="23"/>
  <c r="M426" i="23"/>
  <c r="M424" i="23"/>
  <c r="M88" i="23"/>
  <c r="M266" i="23"/>
  <c r="M129" i="23"/>
  <c r="M237" i="23"/>
  <c r="M75" i="23"/>
  <c r="M474" i="23"/>
  <c r="M180" i="23"/>
  <c r="M471" i="23"/>
  <c r="M307" i="23"/>
  <c r="M355" i="23"/>
  <c r="M461" i="23"/>
  <c r="M205" i="23"/>
  <c r="M418" i="23"/>
  <c r="M41" i="23"/>
  <c r="M385" i="23"/>
  <c r="M53" i="23"/>
  <c r="M95" i="23"/>
  <c r="M479" i="23"/>
  <c r="M159" i="23"/>
  <c r="M199" i="23"/>
  <c r="M384" i="23"/>
  <c r="M187" i="23"/>
  <c r="M420" i="23"/>
  <c r="M282" i="23"/>
  <c r="M242" i="23"/>
  <c r="M318" i="23"/>
  <c r="M120" i="23"/>
  <c r="M363" i="23"/>
  <c r="M128" i="23"/>
  <c r="M127" i="23"/>
  <c r="M76" i="23"/>
  <c r="M62" i="23"/>
  <c r="M354" i="23"/>
  <c r="M243" i="23"/>
  <c r="M190" i="23"/>
  <c r="M40" i="23"/>
  <c r="M244" i="23"/>
  <c r="M404" i="23"/>
  <c r="M259" i="23"/>
  <c r="M410" i="23"/>
  <c r="M341" i="23"/>
  <c r="M343" i="23"/>
  <c r="M452" i="23"/>
  <c r="M74" i="23"/>
  <c r="M197" i="23"/>
  <c r="M322" i="23"/>
  <c r="M107" i="23"/>
  <c r="M185" i="23"/>
  <c r="M347" i="23"/>
  <c r="M369" i="23"/>
  <c r="M246" i="23"/>
  <c r="M239" i="23"/>
  <c r="M94" i="23"/>
  <c r="M226" i="23"/>
  <c r="M494" i="23"/>
  <c r="M278" i="23"/>
  <c r="M65" i="23"/>
  <c r="M391" i="23"/>
  <c r="M488" i="23"/>
  <c r="M108" i="23"/>
  <c r="M434" i="23"/>
  <c r="M164" i="23"/>
  <c r="M388" i="23"/>
  <c r="M156" i="23"/>
  <c r="M415" i="23"/>
  <c r="M20" i="23"/>
  <c r="M165" i="23"/>
  <c r="M412" i="23"/>
  <c r="M153" i="23"/>
  <c r="E4" i="17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2" i="1"/>
</calcChain>
</file>

<file path=xl/sharedStrings.xml><?xml version="1.0" encoding="utf-8"?>
<sst xmlns="http://schemas.openxmlformats.org/spreadsheetml/2006/main" count="4239" uniqueCount="567">
  <si>
    <t>Startup Name</t>
  </si>
  <si>
    <t>Industry</t>
  </si>
  <si>
    <t>Funding Rounds</t>
  </si>
  <si>
    <t>Funding Amount (M USD)</t>
  </si>
  <si>
    <t>Valuation (M USD)</t>
  </si>
  <si>
    <t>Revenue (M USD)</t>
  </si>
  <si>
    <t>Employees</t>
  </si>
  <si>
    <t>Market Share (%)</t>
  </si>
  <si>
    <t>Profitable</t>
  </si>
  <si>
    <t>Year Founded</t>
  </si>
  <si>
    <t>Region</t>
  </si>
  <si>
    <t>Exit Status</t>
  </si>
  <si>
    <t>Startup_1</t>
  </si>
  <si>
    <t>IoT</t>
  </si>
  <si>
    <t>Europe</t>
  </si>
  <si>
    <t>Private</t>
  </si>
  <si>
    <t>Startup_2</t>
  </si>
  <si>
    <t>EdTech</t>
  </si>
  <si>
    <t>South America</t>
  </si>
  <si>
    <t>Startup_3</t>
  </si>
  <si>
    <t>Startup_4</t>
  </si>
  <si>
    <t>Gaming</t>
  </si>
  <si>
    <t>Startup_5</t>
  </si>
  <si>
    <t>Acquired</t>
  </si>
  <si>
    <t>Startup_6</t>
  </si>
  <si>
    <t>AI</t>
  </si>
  <si>
    <t>IPO</t>
  </si>
  <si>
    <t>Startup_7</t>
  </si>
  <si>
    <t>Australia</t>
  </si>
  <si>
    <t>Startup_8</t>
  </si>
  <si>
    <t>HealthTech</t>
  </si>
  <si>
    <t>Startup_9</t>
  </si>
  <si>
    <t>North America</t>
  </si>
  <si>
    <t>Startup_10</t>
  </si>
  <si>
    <t>FinTech</t>
  </si>
  <si>
    <t>Startup_11</t>
  </si>
  <si>
    <t>Startup_12</t>
  </si>
  <si>
    <t>Startup_13</t>
  </si>
  <si>
    <t>Startup_14</t>
  </si>
  <si>
    <t>Cybersecurity</t>
  </si>
  <si>
    <t>Startup_15</t>
  </si>
  <si>
    <t>Asia</t>
  </si>
  <si>
    <t>Startup_16</t>
  </si>
  <si>
    <t>Startup_17</t>
  </si>
  <si>
    <t>Startup_18</t>
  </si>
  <si>
    <t>Startup_19</t>
  </si>
  <si>
    <t>Startup_20</t>
  </si>
  <si>
    <t>Startup_21</t>
  </si>
  <si>
    <t>Startup_22</t>
  </si>
  <si>
    <t>Startup_23</t>
  </si>
  <si>
    <t>Startup_24</t>
  </si>
  <si>
    <t>Startup_25</t>
  </si>
  <si>
    <t>Startup_26</t>
  </si>
  <si>
    <t>Startup_27</t>
  </si>
  <si>
    <t>Startup_28</t>
  </si>
  <si>
    <t>Startup_29</t>
  </si>
  <si>
    <t>Startup_30</t>
  </si>
  <si>
    <t>Startup_31</t>
  </si>
  <si>
    <t>Startup_32</t>
  </si>
  <si>
    <t>Startup_33</t>
  </si>
  <si>
    <t>Startup_34</t>
  </si>
  <si>
    <t>Startup_35</t>
  </si>
  <si>
    <t>Startup_36</t>
  </si>
  <si>
    <t>Startup_37</t>
  </si>
  <si>
    <t>Startup_38</t>
  </si>
  <si>
    <t>Startup_39</t>
  </si>
  <si>
    <t>Startup_40</t>
  </si>
  <si>
    <t>Startup_41</t>
  </si>
  <si>
    <t>Startup_42</t>
  </si>
  <si>
    <t>Startup_43</t>
  </si>
  <si>
    <t>Startup_44</t>
  </si>
  <si>
    <t>Startup_45</t>
  </si>
  <si>
    <t>Startup_46</t>
  </si>
  <si>
    <t>Startup_47</t>
  </si>
  <si>
    <t>Startup_48</t>
  </si>
  <si>
    <t>E-Commerce</t>
  </si>
  <si>
    <t>Startup_49</t>
  </si>
  <si>
    <t>Startup_50</t>
  </si>
  <si>
    <t>Startup_51</t>
  </si>
  <si>
    <t>Startup_52</t>
  </si>
  <si>
    <t>Startup_53</t>
  </si>
  <si>
    <t>Startup_54</t>
  </si>
  <si>
    <t>Startup_55</t>
  </si>
  <si>
    <t>Startup_56</t>
  </si>
  <si>
    <t>Startup_57</t>
  </si>
  <si>
    <t>Startup_58</t>
  </si>
  <si>
    <t>Startup_59</t>
  </si>
  <si>
    <t>Startup_60</t>
  </si>
  <si>
    <t>Startup_61</t>
  </si>
  <si>
    <t>Startup_62</t>
  </si>
  <si>
    <t>Startup_63</t>
  </si>
  <si>
    <t>Startup_64</t>
  </si>
  <si>
    <t>Startup_65</t>
  </si>
  <si>
    <t>Startup_66</t>
  </si>
  <si>
    <t>Startup_67</t>
  </si>
  <si>
    <t>Startup_68</t>
  </si>
  <si>
    <t>Startup_69</t>
  </si>
  <si>
    <t>Startup_70</t>
  </si>
  <si>
    <t>Startup_71</t>
  </si>
  <si>
    <t>Startup_72</t>
  </si>
  <si>
    <t>Startup_73</t>
  </si>
  <si>
    <t>Startup_74</t>
  </si>
  <si>
    <t>Startup_75</t>
  </si>
  <si>
    <t>Startup_76</t>
  </si>
  <si>
    <t>Startup_77</t>
  </si>
  <si>
    <t>Startup_78</t>
  </si>
  <si>
    <t>Startup_79</t>
  </si>
  <si>
    <t>Startup_80</t>
  </si>
  <si>
    <t>Startup_81</t>
  </si>
  <si>
    <t>Startup_82</t>
  </si>
  <si>
    <t>Startup_83</t>
  </si>
  <si>
    <t>Startup_84</t>
  </si>
  <si>
    <t>Startup_85</t>
  </si>
  <si>
    <t>Startup_86</t>
  </si>
  <si>
    <t>Startup_87</t>
  </si>
  <si>
    <t>Startup_88</t>
  </si>
  <si>
    <t>Startup_89</t>
  </si>
  <si>
    <t>Startup_90</t>
  </si>
  <si>
    <t>Startup_91</t>
  </si>
  <si>
    <t>Startup_92</t>
  </si>
  <si>
    <t>Startup_93</t>
  </si>
  <si>
    <t>Startup_94</t>
  </si>
  <si>
    <t>Startup_95</t>
  </si>
  <si>
    <t>Startup_96</t>
  </si>
  <si>
    <t>Startup_97</t>
  </si>
  <si>
    <t>Startup_98</t>
  </si>
  <si>
    <t>Startup_99</t>
  </si>
  <si>
    <t>Startup_100</t>
  </si>
  <si>
    <t>Startup_101</t>
  </si>
  <si>
    <t>Startup_102</t>
  </si>
  <si>
    <t>Startup_103</t>
  </si>
  <si>
    <t>Startup_104</t>
  </si>
  <si>
    <t>Startup_105</t>
  </si>
  <si>
    <t>Startup_106</t>
  </si>
  <si>
    <t>Startup_107</t>
  </si>
  <si>
    <t>Startup_108</t>
  </si>
  <si>
    <t>Startup_109</t>
  </si>
  <si>
    <t>Startup_110</t>
  </si>
  <si>
    <t>Startup_111</t>
  </si>
  <si>
    <t>Startup_112</t>
  </si>
  <si>
    <t>Startup_113</t>
  </si>
  <si>
    <t>Startup_114</t>
  </si>
  <si>
    <t>Startup_115</t>
  </si>
  <si>
    <t>Startup_116</t>
  </si>
  <si>
    <t>Startup_117</t>
  </si>
  <si>
    <t>Startup_118</t>
  </si>
  <si>
    <t>Startup_119</t>
  </si>
  <si>
    <t>Startup_120</t>
  </si>
  <si>
    <t>Startup_121</t>
  </si>
  <si>
    <t>Startup_122</t>
  </si>
  <si>
    <t>Startup_123</t>
  </si>
  <si>
    <t>Startup_124</t>
  </si>
  <si>
    <t>Startup_125</t>
  </si>
  <si>
    <t>Startup_126</t>
  </si>
  <si>
    <t>Startup_127</t>
  </si>
  <si>
    <t>Startup_128</t>
  </si>
  <si>
    <t>Startup_129</t>
  </si>
  <si>
    <t>Startup_130</t>
  </si>
  <si>
    <t>Startup_131</t>
  </si>
  <si>
    <t>Startup_132</t>
  </si>
  <si>
    <t>Startup_133</t>
  </si>
  <si>
    <t>Startup_134</t>
  </si>
  <si>
    <t>Startup_135</t>
  </si>
  <si>
    <t>Startup_136</t>
  </si>
  <si>
    <t>Startup_137</t>
  </si>
  <si>
    <t>Startup_138</t>
  </si>
  <si>
    <t>Startup_139</t>
  </si>
  <si>
    <t>Startup_140</t>
  </si>
  <si>
    <t>Startup_141</t>
  </si>
  <si>
    <t>Startup_142</t>
  </si>
  <si>
    <t>Startup_143</t>
  </si>
  <si>
    <t>Startup_144</t>
  </si>
  <si>
    <t>Startup_145</t>
  </si>
  <si>
    <t>Startup_146</t>
  </si>
  <si>
    <t>Startup_147</t>
  </si>
  <si>
    <t>Startup_148</t>
  </si>
  <si>
    <t>Startup_149</t>
  </si>
  <si>
    <t>Startup_150</t>
  </si>
  <si>
    <t>Startup_151</t>
  </si>
  <si>
    <t>Startup_152</t>
  </si>
  <si>
    <t>Startup_153</t>
  </si>
  <si>
    <t>Startup_154</t>
  </si>
  <si>
    <t>Startup_155</t>
  </si>
  <si>
    <t>Startup_156</t>
  </si>
  <si>
    <t>Startup_157</t>
  </si>
  <si>
    <t>Startup_158</t>
  </si>
  <si>
    <t>Startup_159</t>
  </si>
  <si>
    <t>Startup_160</t>
  </si>
  <si>
    <t>Startup_161</t>
  </si>
  <si>
    <t>Startup_162</t>
  </si>
  <si>
    <t>Startup_163</t>
  </si>
  <si>
    <t>Startup_164</t>
  </si>
  <si>
    <t>Startup_165</t>
  </si>
  <si>
    <t>Startup_166</t>
  </si>
  <si>
    <t>Startup_167</t>
  </si>
  <si>
    <t>Startup_168</t>
  </si>
  <si>
    <t>Startup_169</t>
  </si>
  <si>
    <t>Startup_170</t>
  </si>
  <si>
    <t>Startup_171</t>
  </si>
  <si>
    <t>Startup_172</t>
  </si>
  <si>
    <t>Startup_173</t>
  </si>
  <si>
    <t>Startup_174</t>
  </si>
  <si>
    <t>Startup_175</t>
  </si>
  <si>
    <t>Startup_176</t>
  </si>
  <si>
    <t>Startup_177</t>
  </si>
  <si>
    <t>Startup_178</t>
  </si>
  <si>
    <t>Startup_179</t>
  </si>
  <si>
    <t>Startup_180</t>
  </si>
  <si>
    <t>Startup_181</t>
  </si>
  <si>
    <t>Startup_182</t>
  </si>
  <si>
    <t>Startup_183</t>
  </si>
  <si>
    <t>Startup_184</t>
  </si>
  <si>
    <t>Startup_185</t>
  </si>
  <si>
    <t>Startup_186</t>
  </si>
  <si>
    <t>Startup_187</t>
  </si>
  <si>
    <t>Startup_188</t>
  </si>
  <si>
    <t>Startup_189</t>
  </si>
  <si>
    <t>Startup_190</t>
  </si>
  <si>
    <t>Startup_191</t>
  </si>
  <si>
    <t>Startup_192</t>
  </si>
  <si>
    <t>Startup_193</t>
  </si>
  <si>
    <t>Startup_194</t>
  </si>
  <si>
    <t>Startup_195</t>
  </si>
  <si>
    <t>Startup_196</t>
  </si>
  <si>
    <t>Startup_197</t>
  </si>
  <si>
    <t>Startup_198</t>
  </si>
  <si>
    <t>Startup_199</t>
  </si>
  <si>
    <t>Startup_200</t>
  </si>
  <si>
    <t>Startup_201</t>
  </si>
  <si>
    <t>Startup_202</t>
  </si>
  <si>
    <t>Startup_203</t>
  </si>
  <si>
    <t>Startup_204</t>
  </si>
  <si>
    <t>Startup_205</t>
  </si>
  <si>
    <t>Startup_206</t>
  </si>
  <si>
    <t>Startup_207</t>
  </si>
  <si>
    <t>Startup_208</t>
  </si>
  <si>
    <t>Startup_209</t>
  </si>
  <si>
    <t>Startup_210</t>
  </si>
  <si>
    <t>Startup_211</t>
  </si>
  <si>
    <t>Startup_212</t>
  </si>
  <si>
    <t>Startup_213</t>
  </si>
  <si>
    <t>Startup_214</t>
  </si>
  <si>
    <t>Startup_215</t>
  </si>
  <si>
    <t>Startup_216</t>
  </si>
  <si>
    <t>Startup_217</t>
  </si>
  <si>
    <t>Startup_218</t>
  </si>
  <si>
    <t>Startup_219</t>
  </si>
  <si>
    <t>Startup_220</t>
  </si>
  <si>
    <t>Startup_221</t>
  </si>
  <si>
    <t>Startup_222</t>
  </si>
  <si>
    <t>Startup_223</t>
  </si>
  <si>
    <t>Startup_224</t>
  </si>
  <si>
    <t>Startup_225</t>
  </si>
  <si>
    <t>Startup_226</t>
  </si>
  <si>
    <t>Startup_227</t>
  </si>
  <si>
    <t>Startup_228</t>
  </si>
  <si>
    <t>Startup_229</t>
  </si>
  <si>
    <t>Startup_230</t>
  </si>
  <si>
    <t>Startup_231</t>
  </si>
  <si>
    <t>Startup_232</t>
  </si>
  <si>
    <t>Startup_233</t>
  </si>
  <si>
    <t>Startup_234</t>
  </si>
  <si>
    <t>Startup_235</t>
  </si>
  <si>
    <t>Startup_236</t>
  </si>
  <si>
    <t>Startup_237</t>
  </si>
  <si>
    <t>Startup_238</t>
  </si>
  <si>
    <t>Startup_239</t>
  </si>
  <si>
    <t>Startup_240</t>
  </si>
  <si>
    <t>Startup_241</t>
  </si>
  <si>
    <t>Startup_242</t>
  </si>
  <si>
    <t>Startup_243</t>
  </si>
  <si>
    <t>Startup_244</t>
  </si>
  <si>
    <t>Startup_245</t>
  </si>
  <si>
    <t>Startup_246</t>
  </si>
  <si>
    <t>Startup_247</t>
  </si>
  <si>
    <t>Startup_248</t>
  </si>
  <si>
    <t>Startup_249</t>
  </si>
  <si>
    <t>Startup_250</t>
  </si>
  <si>
    <t>Startup_251</t>
  </si>
  <si>
    <t>Startup_252</t>
  </si>
  <si>
    <t>Startup_253</t>
  </si>
  <si>
    <t>Startup_254</t>
  </si>
  <si>
    <t>Startup_255</t>
  </si>
  <si>
    <t>Startup_256</t>
  </si>
  <si>
    <t>Startup_257</t>
  </si>
  <si>
    <t>Startup_258</t>
  </si>
  <si>
    <t>Startup_259</t>
  </si>
  <si>
    <t>Startup_260</t>
  </si>
  <si>
    <t>Startup_261</t>
  </si>
  <si>
    <t>Startup_262</t>
  </si>
  <si>
    <t>Startup_263</t>
  </si>
  <si>
    <t>Startup_264</t>
  </si>
  <si>
    <t>Startup_265</t>
  </si>
  <si>
    <t>Startup_266</t>
  </si>
  <si>
    <t>Startup_267</t>
  </si>
  <si>
    <t>Startup_268</t>
  </si>
  <si>
    <t>Startup_269</t>
  </si>
  <si>
    <t>Startup_270</t>
  </si>
  <si>
    <t>Startup_271</t>
  </si>
  <si>
    <t>Startup_272</t>
  </si>
  <si>
    <t>Startup_273</t>
  </si>
  <si>
    <t>Startup_274</t>
  </si>
  <si>
    <t>Startup_275</t>
  </si>
  <si>
    <t>Startup_276</t>
  </si>
  <si>
    <t>Startup_277</t>
  </si>
  <si>
    <t>Startup_278</t>
  </si>
  <si>
    <t>Startup_279</t>
  </si>
  <si>
    <t>Startup_280</t>
  </si>
  <si>
    <t>Startup_281</t>
  </si>
  <si>
    <t>Startup_282</t>
  </si>
  <si>
    <t>Startup_283</t>
  </si>
  <si>
    <t>Startup_284</t>
  </si>
  <si>
    <t>Startup_285</t>
  </si>
  <si>
    <t>Startup_286</t>
  </si>
  <si>
    <t>Startup_287</t>
  </si>
  <si>
    <t>Startup_288</t>
  </si>
  <si>
    <t>Startup_289</t>
  </si>
  <si>
    <t>Startup_290</t>
  </si>
  <si>
    <t>Startup_291</t>
  </si>
  <si>
    <t>Startup_292</t>
  </si>
  <si>
    <t>Startup_293</t>
  </si>
  <si>
    <t>Startup_294</t>
  </si>
  <si>
    <t>Startup_295</t>
  </si>
  <si>
    <t>Startup_296</t>
  </si>
  <si>
    <t>Startup_297</t>
  </si>
  <si>
    <t>Startup_298</t>
  </si>
  <si>
    <t>Startup_299</t>
  </si>
  <si>
    <t>Startup_300</t>
  </si>
  <si>
    <t>Startup_301</t>
  </si>
  <si>
    <t>Startup_302</t>
  </si>
  <si>
    <t>Startup_303</t>
  </si>
  <si>
    <t>Startup_304</t>
  </si>
  <si>
    <t>Startup_305</t>
  </si>
  <si>
    <t>Startup_306</t>
  </si>
  <si>
    <t>Startup_307</t>
  </si>
  <si>
    <t>Startup_308</t>
  </si>
  <si>
    <t>Startup_309</t>
  </si>
  <si>
    <t>Startup_310</t>
  </si>
  <si>
    <t>Startup_311</t>
  </si>
  <si>
    <t>Startup_312</t>
  </si>
  <si>
    <t>Startup_313</t>
  </si>
  <si>
    <t>Startup_314</t>
  </si>
  <si>
    <t>Startup_315</t>
  </si>
  <si>
    <t>Startup_316</t>
  </si>
  <si>
    <t>Startup_317</t>
  </si>
  <si>
    <t>Startup_318</t>
  </si>
  <si>
    <t>Startup_319</t>
  </si>
  <si>
    <t>Startup_320</t>
  </si>
  <si>
    <t>Startup_321</t>
  </si>
  <si>
    <t>Startup_322</t>
  </si>
  <si>
    <t>Startup_323</t>
  </si>
  <si>
    <t>Startup_324</t>
  </si>
  <si>
    <t>Startup_325</t>
  </si>
  <si>
    <t>Startup_326</t>
  </si>
  <si>
    <t>Startup_327</t>
  </si>
  <si>
    <t>Startup_328</t>
  </si>
  <si>
    <t>Startup_329</t>
  </si>
  <si>
    <t>Startup_330</t>
  </si>
  <si>
    <t>Startup_331</t>
  </si>
  <si>
    <t>Startup_332</t>
  </si>
  <si>
    <t>Startup_333</t>
  </si>
  <si>
    <t>Startup_334</t>
  </si>
  <si>
    <t>Startup_335</t>
  </si>
  <si>
    <t>Startup_336</t>
  </si>
  <si>
    <t>Startup_337</t>
  </si>
  <si>
    <t>Startup_338</t>
  </si>
  <si>
    <t>Startup_339</t>
  </si>
  <si>
    <t>Startup_340</t>
  </si>
  <si>
    <t>Startup_341</t>
  </si>
  <si>
    <t>Startup_342</t>
  </si>
  <si>
    <t>Startup_343</t>
  </si>
  <si>
    <t>Startup_344</t>
  </si>
  <si>
    <t>Startup_345</t>
  </si>
  <si>
    <t>Startup_346</t>
  </si>
  <si>
    <t>Startup_347</t>
  </si>
  <si>
    <t>Startup_348</t>
  </si>
  <si>
    <t>Startup_349</t>
  </si>
  <si>
    <t>Startup_350</t>
  </si>
  <si>
    <t>Startup_351</t>
  </si>
  <si>
    <t>Startup_352</t>
  </si>
  <si>
    <t>Startup_353</t>
  </si>
  <si>
    <t>Startup_354</t>
  </si>
  <si>
    <t>Startup_355</t>
  </si>
  <si>
    <t>Startup_356</t>
  </si>
  <si>
    <t>Startup_357</t>
  </si>
  <si>
    <t>Startup_358</t>
  </si>
  <si>
    <t>Startup_359</t>
  </si>
  <si>
    <t>Startup_360</t>
  </si>
  <si>
    <t>Startup_361</t>
  </si>
  <si>
    <t>Startup_362</t>
  </si>
  <si>
    <t>Startup_363</t>
  </si>
  <si>
    <t>Startup_364</t>
  </si>
  <si>
    <t>Startup_365</t>
  </si>
  <si>
    <t>Startup_366</t>
  </si>
  <si>
    <t>Startup_367</t>
  </si>
  <si>
    <t>Startup_368</t>
  </si>
  <si>
    <t>Startup_369</t>
  </si>
  <si>
    <t>Startup_370</t>
  </si>
  <si>
    <t>Startup_371</t>
  </si>
  <si>
    <t>Startup_372</t>
  </si>
  <si>
    <t>Startup_373</t>
  </si>
  <si>
    <t>Startup_374</t>
  </si>
  <si>
    <t>Startup_375</t>
  </si>
  <si>
    <t>Startup_376</t>
  </si>
  <si>
    <t>Startup_377</t>
  </si>
  <si>
    <t>Startup_378</t>
  </si>
  <si>
    <t>Startup_379</t>
  </si>
  <si>
    <t>Startup_380</t>
  </si>
  <si>
    <t>Startup_381</t>
  </si>
  <si>
    <t>Startup_382</t>
  </si>
  <si>
    <t>Startup_383</t>
  </si>
  <si>
    <t>Startup_384</t>
  </si>
  <si>
    <t>Startup_385</t>
  </si>
  <si>
    <t>Startup_386</t>
  </si>
  <si>
    <t>Startup_387</t>
  </si>
  <si>
    <t>Startup_388</t>
  </si>
  <si>
    <t>Startup_389</t>
  </si>
  <si>
    <t>Startup_390</t>
  </si>
  <si>
    <t>Startup_391</t>
  </si>
  <si>
    <t>Startup_392</t>
  </si>
  <si>
    <t>Startup_393</t>
  </si>
  <si>
    <t>Startup_394</t>
  </si>
  <si>
    <t>Startup_395</t>
  </si>
  <si>
    <t>Startup_396</t>
  </si>
  <si>
    <t>Startup_397</t>
  </si>
  <si>
    <t>Startup_398</t>
  </si>
  <si>
    <t>Startup_399</t>
  </si>
  <si>
    <t>Startup_400</t>
  </si>
  <si>
    <t>Startup_401</t>
  </si>
  <si>
    <t>Startup_402</t>
  </si>
  <si>
    <t>Startup_403</t>
  </si>
  <si>
    <t>Startup_404</t>
  </si>
  <si>
    <t>Startup_405</t>
  </si>
  <si>
    <t>Startup_406</t>
  </si>
  <si>
    <t>Startup_407</t>
  </si>
  <si>
    <t>Startup_408</t>
  </si>
  <si>
    <t>Startup_409</t>
  </si>
  <si>
    <t>Startup_410</t>
  </si>
  <si>
    <t>Startup_411</t>
  </si>
  <si>
    <t>Startup_412</t>
  </si>
  <si>
    <t>Startup_413</t>
  </si>
  <si>
    <t>Startup_414</t>
  </si>
  <si>
    <t>Startup_415</t>
  </si>
  <si>
    <t>Startup_416</t>
  </si>
  <si>
    <t>Startup_417</t>
  </si>
  <si>
    <t>Startup_418</t>
  </si>
  <si>
    <t>Startup_419</t>
  </si>
  <si>
    <t>Startup_420</t>
  </si>
  <si>
    <t>Startup_421</t>
  </si>
  <si>
    <t>Startup_422</t>
  </si>
  <si>
    <t>Startup_423</t>
  </si>
  <si>
    <t>Startup_424</t>
  </si>
  <si>
    <t>Startup_425</t>
  </si>
  <si>
    <t>Startup_426</t>
  </si>
  <si>
    <t>Startup_427</t>
  </si>
  <si>
    <t>Startup_428</t>
  </si>
  <si>
    <t>Startup_429</t>
  </si>
  <si>
    <t>Startup_430</t>
  </si>
  <si>
    <t>Startup_431</t>
  </si>
  <si>
    <t>Startup_432</t>
  </si>
  <si>
    <t>Startup_433</t>
  </si>
  <si>
    <t>Startup_434</t>
  </si>
  <si>
    <t>Startup_435</t>
  </si>
  <si>
    <t>Startup_436</t>
  </si>
  <si>
    <t>Startup_437</t>
  </si>
  <si>
    <t>Startup_438</t>
  </si>
  <si>
    <t>Startup_439</t>
  </si>
  <si>
    <t>Startup_440</t>
  </si>
  <si>
    <t>Startup_441</t>
  </si>
  <si>
    <t>Startup_442</t>
  </si>
  <si>
    <t>Startup_443</t>
  </si>
  <si>
    <t>Startup_444</t>
  </si>
  <si>
    <t>Startup_445</t>
  </si>
  <si>
    <t>Startup_446</t>
  </si>
  <si>
    <t>Startup_447</t>
  </si>
  <si>
    <t>Startup_448</t>
  </si>
  <si>
    <t>Startup_449</t>
  </si>
  <si>
    <t>Startup_450</t>
  </si>
  <si>
    <t>Startup_451</t>
  </si>
  <si>
    <t>Startup_452</t>
  </si>
  <si>
    <t>Startup_453</t>
  </si>
  <si>
    <t>Startup_454</t>
  </si>
  <si>
    <t>Startup_455</t>
  </si>
  <si>
    <t>Startup_456</t>
  </si>
  <si>
    <t>Startup_457</t>
  </si>
  <si>
    <t>Startup_458</t>
  </si>
  <si>
    <t>Startup_459</t>
  </si>
  <si>
    <t>Startup_460</t>
  </si>
  <si>
    <t>Startup_461</t>
  </si>
  <si>
    <t>Startup_462</t>
  </si>
  <si>
    <t>Startup_463</t>
  </si>
  <si>
    <t>Startup_464</t>
  </si>
  <si>
    <t>Startup_465</t>
  </si>
  <si>
    <t>Startup_466</t>
  </si>
  <si>
    <t>Startup_467</t>
  </si>
  <si>
    <t>Startup_468</t>
  </si>
  <si>
    <t>Startup_469</t>
  </si>
  <si>
    <t>Startup_470</t>
  </si>
  <si>
    <t>Startup_471</t>
  </si>
  <si>
    <t>Startup_472</t>
  </si>
  <si>
    <t>Startup_473</t>
  </si>
  <si>
    <t>Startup_474</t>
  </si>
  <si>
    <t>Startup_475</t>
  </si>
  <si>
    <t>Startup_476</t>
  </si>
  <si>
    <t>Startup_477</t>
  </si>
  <si>
    <t>Startup_478</t>
  </si>
  <si>
    <t>Startup_479</t>
  </si>
  <si>
    <t>Startup_480</t>
  </si>
  <si>
    <t>Startup_481</t>
  </si>
  <si>
    <t>Startup_482</t>
  </si>
  <si>
    <t>Startup_483</t>
  </si>
  <si>
    <t>Startup_484</t>
  </si>
  <si>
    <t>Startup_485</t>
  </si>
  <si>
    <t>Startup_486</t>
  </si>
  <si>
    <t>Startup_487</t>
  </si>
  <si>
    <t>Startup_488</t>
  </si>
  <si>
    <t>Startup_489</t>
  </si>
  <si>
    <t>Startup_490</t>
  </si>
  <si>
    <t>Startup_491</t>
  </si>
  <si>
    <t>Startup_492</t>
  </si>
  <si>
    <t>Startup_493</t>
  </si>
  <si>
    <t>Startup_494</t>
  </si>
  <si>
    <t>Startup_495</t>
  </si>
  <si>
    <t>Startup_496</t>
  </si>
  <si>
    <t>Startup_497</t>
  </si>
  <si>
    <t>Startup_498</t>
  </si>
  <si>
    <t>Startup_499</t>
  </si>
  <si>
    <t>Startup_500</t>
  </si>
  <si>
    <t xml:space="preserve">Total Startup </t>
  </si>
  <si>
    <t>Row Labels</t>
  </si>
  <si>
    <t>Grand Total</t>
  </si>
  <si>
    <t>Total Startups</t>
  </si>
  <si>
    <t>Average of Funding Amount (M USD)</t>
  </si>
  <si>
    <t>Average Funding Amount (M USD)</t>
  </si>
  <si>
    <t>Startup Distribution</t>
  </si>
  <si>
    <t>Not Profitable</t>
  </si>
  <si>
    <t>Profitability</t>
  </si>
  <si>
    <t>Total Startup</t>
  </si>
  <si>
    <t>Total Funding Amount (M USD)</t>
  </si>
  <si>
    <t>Top-funded industry</t>
  </si>
  <si>
    <t xml:space="preserve">Startup </t>
  </si>
  <si>
    <t>Total Valuation (M USD)</t>
  </si>
  <si>
    <t>Total Market Share (%)</t>
  </si>
  <si>
    <t>Startup</t>
  </si>
  <si>
    <t xml:space="preserve"> valuation-to-revenue ratio</t>
  </si>
  <si>
    <t>Average Revenue (M USD)</t>
  </si>
  <si>
    <t>Average Funding Rounds</t>
  </si>
  <si>
    <t>Average  Year Founded</t>
  </si>
  <si>
    <t>Industry and Region</t>
  </si>
  <si>
    <t>Founded After 2010</t>
  </si>
  <si>
    <t>No</t>
  </si>
  <si>
    <t>Yes</t>
  </si>
  <si>
    <t>Column Labels</t>
  </si>
  <si>
    <r>
      <t>funding does not directly drive revenue performance</t>
    </r>
    <r>
      <rPr>
        <sz val="11"/>
        <color theme="1"/>
        <rFont val="Calibri"/>
        <family val="2"/>
        <scheme val="minor"/>
      </rPr>
      <t xml:space="preserve"> among startups</t>
    </r>
  </si>
  <si>
    <t>startup</t>
  </si>
  <si>
    <t>Average Best funding efficiency</t>
  </si>
  <si>
    <t xml:space="preserve"> Valuation per employee</t>
  </si>
  <si>
    <t>Industry with Highest Valuation per Employees</t>
  </si>
  <si>
    <t xml:space="preserve"> Revenue per employee</t>
  </si>
  <si>
    <t>Rank</t>
  </si>
  <si>
    <t>Revenue-to-Funding Ration</t>
  </si>
  <si>
    <t>Valuation-to-Funding Ration</t>
  </si>
  <si>
    <t>Average of Revenue (M USD)</t>
  </si>
  <si>
    <t>Average of Valuation (M USD)</t>
  </si>
  <si>
    <t>Average of Funding Efficiency</t>
  </si>
  <si>
    <t>Average of Revenue Efficiency</t>
  </si>
  <si>
    <t>Final Investment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</si>
</sst>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pivotButton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2" fontId="0" fillId="0" borderId="0" xfId="0" applyNumberFormat="1"/>
    <xf numFmtId="2" fontId="0" fillId="0" borderId="16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10" fontId="0" fillId="0" borderId="19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10" fontId="0" fillId="0" borderId="21" xfId="0" applyNumberFormat="1" applyBorder="1" applyAlignment="1">
      <alignment horizontal="center"/>
    </xf>
    <xf numFmtId="0" fontId="0" fillId="0" borderId="10" xfId="0" pivotButton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 indent="1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0" fillId="34" borderId="25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6" borderId="0" xfId="0" applyFill="1"/>
    <xf numFmtId="0" fontId="0" fillId="0" borderId="0" xfId="0" applyNumberFormat="1"/>
    <xf numFmtId="0" fontId="0" fillId="0" borderId="19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36" borderId="13" xfId="0" applyFont="1" applyFill="1" applyBorder="1" applyAlignment="1">
      <alignment horizontal="center"/>
    </xf>
    <xf numFmtId="0" fontId="16" fillId="36" borderId="29" xfId="0" applyFont="1" applyFill="1" applyBorder="1" applyAlignment="1">
      <alignment horizontal="center"/>
    </xf>
    <xf numFmtId="0" fontId="16" fillId="36" borderId="1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0"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.0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[startup_data_practice.xlsx]Top industry for startups!PivotTable2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industry for startups'!$B$3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industry for startups'!$A$4:$A$12</c:f>
              <c:strCache>
                <c:ptCount val="8"/>
                <c:pt idx="0">
                  <c:v>EdTech</c:v>
                </c:pt>
                <c:pt idx="1">
                  <c:v>FinTech</c:v>
                </c:pt>
                <c:pt idx="2">
                  <c:v>E-Commerce</c:v>
                </c:pt>
                <c:pt idx="3">
                  <c:v>Gaming</c:v>
                </c:pt>
                <c:pt idx="4">
                  <c:v>AI</c:v>
                </c:pt>
                <c:pt idx="5">
                  <c:v>IoT</c:v>
                </c:pt>
                <c:pt idx="6">
                  <c:v>Cybersecurity</c:v>
                </c:pt>
                <c:pt idx="7">
                  <c:v>HealthTech</c:v>
                </c:pt>
              </c:strCache>
            </c:strRef>
          </c:cat>
          <c:val>
            <c:numRef>
              <c:f>'Top industry for startups'!$B$4:$B$12</c:f>
              <c:numCache>
                <c:formatCode>General</c:formatCode>
                <c:ptCount val="8"/>
                <c:pt idx="0">
                  <c:v>74</c:v>
                </c:pt>
                <c:pt idx="1">
                  <c:v>71</c:v>
                </c:pt>
                <c:pt idx="2">
                  <c:v>70</c:v>
                </c:pt>
                <c:pt idx="3">
                  <c:v>62</c:v>
                </c:pt>
                <c:pt idx="4">
                  <c:v>62</c:v>
                </c:pt>
                <c:pt idx="5">
                  <c:v>61</c:v>
                </c:pt>
                <c:pt idx="6">
                  <c:v>51</c:v>
                </c:pt>
                <c:pt idx="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5-4908-B117-65D59BDC9E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42344096"/>
        <c:axId val="342357536"/>
      </c:barChart>
      <c:catAx>
        <c:axId val="34234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57536"/>
        <c:crosses val="autoZero"/>
        <c:auto val="1"/>
        <c:lblAlgn val="ctr"/>
        <c:lblOffset val="100"/>
        <c:noMultiLvlLbl val="0"/>
      </c:catAx>
      <c:valAx>
        <c:axId val="34235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34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[startup_data_practice.xlsx]Average revenue by industry!PivotTable4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revenue by industry'!$B$3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revenue by industry'!$A$4:$A$12</c:f>
              <c:strCache>
                <c:ptCount val="8"/>
                <c:pt idx="0">
                  <c:v>Gaming</c:v>
                </c:pt>
                <c:pt idx="1">
                  <c:v>E-Commerce</c:v>
                </c:pt>
                <c:pt idx="2">
                  <c:v>FinTech</c:v>
                </c:pt>
                <c:pt idx="3">
                  <c:v>Cybersecurity</c:v>
                </c:pt>
                <c:pt idx="4">
                  <c:v>EdTech</c:v>
                </c:pt>
                <c:pt idx="5">
                  <c:v>AI</c:v>
                </c:pt>
                <c:pt idx="6">
                  <c:v>HealthTech</c:v>
                </c:pt>
                <c:pt idx="7">
                  <c:v>IoT</c:v>
                </c:pt>
              </c:strCache>
            </c:strRef>
          </c:cat>
          <c:val>
            <c:numRef>
              <c:f>'Average revenue by industry'!$B$4:$B$12</c:f>
              <c:numCache>
                <c:formatCode>0.00</c:formatCode>
                <c:ptCount val="8"/>
                <c:pt idx="0">
                  <c:v>173.14935483870963</c:v>
                </c:pt>
                <c:pt idx="1">
                  <c:v>164.63300000000001</c:v>
                </c:pt>
                <c:pt idx="2">
                  <c:v>164.03422535211263</c:v>
                </c:pt>
                <c:pt idx="3">
                  <c:v>156.31980392156865</c:v>
                </c:pt>
                <c:pt idx="4">
                  <c:v>151.51527027027026</c:v>
                </c:pt>
                <c:pt idx="5">
                  <c:v>138.33951612903223</c:v>
                </c:pt>
                <c:pt idx="6">
                  <c:v>134.92693877551019</c:v>
                </c:pt>
                <c:pt idx="7">
                  <c:v>131.9585245901639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2E-4E00-87CD-6CA625FD71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4246624"/>
        <c:axId val="924263424"/>
      </c:barChart>
      <c:catAx>
        <c:axId val="92424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63424"/>
        <c:crosses val="autoZero"/>
        <c:auto val="1"/>
        <c:lblAlgn val="ctr"/>
        <c:lblOffset val="100"/>
        <c:noMultiLvlLbl val="0"/>
      </c:catAx>
      <c:valAx>
        <c:axId val="92426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24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[startup_data_practice.xlsx]Top region for startups!PivotTable5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'Top region for startups'!$B$3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0A-40EB-8A55-530746671B5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0A-40EB-8A55-530746671B5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0A-40EB-8A55-530746671B5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0A-40EB-8A55-530746671B5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0A-40EB-8A55-530746671B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region for startups'!$A$4:$A$9</c:f>
              <c:strCache>
                <c:ptCount val="5"/>
                <c:pt idx="0">
                  <c:v>Australia</c:v>
                </c:pt>
                <c:pt idx="1">
                  <c:v>Asia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'Top region for startups'!$B$4:$B$9</c:f>
              <c:numCache>
                <c:formatCode>0.00%</c:formatCode>
                <c:ptCount val="5"/>
                <c:pt idx="0">
                  <c:v>0.216</c:v>
                </c:pt>
                <c:pt idx="1">
                  <c:v>0.20599999999999999</c:v>
                </c:pt>
                <c:pt idx="2">
                  <c:v>0.20399999999999999</c:v>
                </c:pt>
                <c:pt idx="3">
                  <c:v>0.19400000000000001</c:v>
                </c:pt>
                <c:pt idx="4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A-4511-832D-8E55BB31D0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[startup_data_practice.xlsx]Startup profit status!PivotTable6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'Startup profit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C74-4746-A0C0-C81926D1FB4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C74-4746-A0C0-C81926D1FB4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'Startup profit status'!$A$4:$A$6</c:f>
              <c:strCache>
                <c:ptCount val="2"/>
                <c:pt idx="0">
                  <c:v>Not Profitable</c:v>
                </c:pt>
                <c:pt idx="1">
                  <c:v>Profitable</c:v>
                </c:pt>
              </c:strCache>
            </c:strRef>
          </c:cat>
          <c:val>
            <c:numRef>
              <c:f>'Startup profit status'!$B$4:$B$6</c:f>
              <c:numCache>
                <c:formatCode>General</c:formatCode>
                <c:ptCount val="2"/>
                <c:pt idx="0">
                  <c:v>284</c:v>
                </c:pt>
                <c:pt idx="1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0-4239-8917-69615A0DE2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[startup_data_practice.xlsx]Top-funded industry!PivotTable7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'Top-funded industry'!$B$3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'Top-funded industry'!$A$4:$A$12</c:f>
              <c:strCache>
                <c:ptCount val="8"/>
                <c:pt idx="0">
                  <c:v>FinTech</c:v>
                </c:pt>
                <c:pt idx="1">
                  <c:v>E-Commerce</c:v>
                </c:pt>
                <c:pt idx="2">
                  <c:v>EdTech</c:v>
                </c:pt>
                <c:pt idx="3">
                  <c:v>Gaming</c:v>
                </c:pt>
                <c:pt idx="4">
                  <c:v>AI</c:v>
                </c:pt>
                <c:pt idx="5">
                  <c:v>IoT</c:v>
                </c:pt>
                <c:pt idx="6">
                  <c:v>Cybersecurity</c:v>
                </c:pt>
                <c:pt idx="7">
                  <c:v>HealthTech</c:v>
                </c:pt>
              </c:strCache>
            </c:strRef>
          </c:cat>
          <c:val>
            <c:numRef>
              <c:f>'Top-funded industry'!$B$4:$B$12</c:f>
              <c:numCache>
                <c:formatCode>General</c:formatCode>
                <c:ptCount val="8"/>
                <c:pt idx="0">
                  <c:v>11646.429999999997</c:v>
                </c:pt>
                <c:pt idx="1">
                  <c:v>11524.310000000001</c:v>
                </c:pt>
                <c:pt idx="2">
                  <c:v>11212.13</c:v>
                </c:pt>
                <c:pt idx="3">
                  <c:v>10735.259999999997</c:v>
                </c:pt>
                <c:pt idx="4">
                  <c:v>8577.0499999999993</c:v>
                </c:pt>
                <c:pt idx="5">
                  <c:v>8049.4699999999984</c:v>
                </c:pt>
                <c:pt idx="6">
                  <c:v>7972.3100000000013</c:v>
                </c:pt>
                <c:pt idx="7">
                  <c:v>6611.4199999999992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A-462D-B70C-CE79FD9BF2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9808384"/>
        <c:axId val="929796864"/>
      </c:barChart>
      <c:catAx>
        <c:axId val="92980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96864"/>
        <c:crosses val="autoZero"/>
        <c:auto val="1"/>
        <c:lblAlgn val="ctr"/>
        <c:lblOffset val="100"/>
        <c:noMultiLvlLbl val="0"/>
      </c:catAx>
      <c:valAx>
        <c:axId val="92979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0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[startup_data_practice.xlsx]Top 5 overvalued startups!PivotTable10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'Top 5 overvalued startups'!$B$3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overvalued startups'!$A$4:$A$9</c:f>
              <c:strCache>
                <c:ptCount val="5"/>
                <c:pt idx="0">
                  <c:v>Startup_90</c:v>
                </c:pt>
                <c:pt idx="1">
                  <c:v>Startup_264</c:v>
                </c:pt>
                <c:pt idx="2">
                  <c:v>Startup_286</c:v>
                </c:pt>
                <c:pt idx="3">
                  <c:v>Startup_296</c:v>
                </c:pt>
                <c:pt idx="4">
                  <c:v>Startup_479</c:v>
                </c:pt>
              </c:strCache>
            </c:strRef>
          </c:cat>
          <c:val>
            <c:numRef>
              <c:f>'Top 5 overvalued startups'!$B$4:$B$9</c:f>
              <c:numCache>
                <c:formatCode>0.00</c:formatCode>
                <c:ptCount val="5"/>
                <c:pt idx="0">
                  <c:v>2427.8958333333335</c:v>
                </c:pt>
                <c:pt idx="1">
                  <c:v>2270.791666666667</c:v>
                </c:pt>
                <c:pt idx="2">
                  <c:v>1919.25</c:v>
                </c:pt>
                <c:pt idx="3">
                  <c:v>1847.4157894736843</c:v>
                </c:pt>
                <c:pt idx="4">
                  <c:v>1288.4661654135339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B-42D8-834F-94DE2D3D23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29812704"/>
        <c:axId val="929817984"/>
        <c:axId val="0"/>
      </c:bar3DChart>
      <c:catAx>
        <c:axId val="9298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17984"/>
        <c:crosses val="autoZero"/>
        <c:auto val="1"/>
        <c:lblAlgn val="ctr"/>
        <c:lblOffset val="100"/>
        <c:noMultiLvlLbl val="0"/>
      </c:catAx>
      <c:valAx>
        <c:axId val="9298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812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[startup_data_practice.xlsx]Region with highest revenue!PivotTable11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'Region with highest revenue'!$B$3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with highest revenue'!$A$4:$A$9</c:f>
              <c:strCache>
                <c:ptCount val="5"/>
                <c:pt idx="0">
                  <c:v>Europe</c:v>
                </c:pt>
                <c:pt idx="1">
                  <c:v>North America</c:v>
                </c:pt>
                <c:pt idx="2">
                  <c:v>Asia</c:v>
                </c:pt>
                <c:pt idx="3">
                  <c:v>Australia</c:v>
                </c:pt>
                <c:pt idx="4">
                  <c:v>South America</c:v>
                </c:pt>
              </c:strCache>
            </c:strRef>
          </c:cat>
          <c:val>
            <c:numRef>
              <c:f>'Region with highest revenue'!$B$4:$B$9</c:f>
              <c:numCache>
                <c:formatCode>0.00</c:formatCode>
                <c:ptCount val="5"/>
                <c:pt idx="0">
                  <c:v>53.592450980392179</c:v>
                </c:pt>
                <c:pt idx="1">
                  <c:v>51.86278350515461</c:v>
                </c:pt>
                <c:pt idx="2">
                  <c:v>48.278155339805821</c:v>
                </c:pt>
                <c:pt idx="3">
                  <c:v>47.116018518518509</c:v>
                </c:pt>
                <c:pt idx="4">
                  <c:v>45.58411111111112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C-4FF6-8894-D71555E8CE4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17933328"/>
        <c:axId val="1117930928"/>
        <c:axId val="0"/>
      </c:bar3DChart>
      <c:catAx>
        <c:axId val="1117933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30928"/>
        <c:crosses val="autoZero"/>
        <c:auto val="1"/>
        <c:lblAlgn val="ctr"/>
        <c:lblOffset val="100"/>
        <c:noMultiLvlLbl val="0"/>
      </c:catAx>
      <c:valAx>
        <c:axId val="111793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[startup_data_practice.xlsx]Funding amount over time!PivotTable14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'Funding amount over time'!$B$3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'Funding amount over time'!$A$4:$A$37</c:f>
              <c:strCache>
                <c:ptCount val="33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</c:strCache>
            </c:strRef>
          </c:cat>
          <c:val>
            <c:numRef>
              <c:f>'Funding amount over time'!$B$4:$B$37</c:f>
              <c:numCache>
                <c:formatCode>0.00</c:formatCode>
                <c:ptCount val="33"/>
                <c:pt idx="0">
                  <c:v>171.31818181818184</c:v>
                </c:pt>
                <c:pt idx="1">
                  <c:v>149.10999999999999</c:v>
                </c:pt>
                <c:pt idx="2">
                  <c:v>150.203</c:v>
                </c:pt>
                <c:pt idx="3">
                  <c:v>160.76571428571427</c:v>
                </c:pt>
                <c:pt idx="4">
                  <c:v>129.51285714285714</c:v>
                </c:pt>
                <c:pt idx="5">
                  <c:v>170.58529411764707</c:v>
                </c:pt>
                <c:pt idx="6">
                  <c:v>127.55600000000001</c:v>
                </c:pt>
                <c:pt idx="7">
                  <c:v>113.66363636363636</c:v>
                </c:pt>
                <c:pt idx="8">
                  <c:v>170.85846153846154</c:v>
                </c:pt>
                <c:pt idx="9">
                  <c:v>157.38916666666665</c:v>
                </c:pt>
                <c:pt idx="10">
                  <c:v>166.96055555555554</c:v>
                </c:pt>
                <c:pt idx="11">
                  <c:v>135.38499999999999</c:v>
                </c:pt>
                <c:pt idx="12">
                  <c:v>175.07066666666665</c:v>
                </c:pt>
                <c:pt idx="13">
                  <c:v>160.81047619047618</c:v>
                </c:pt>
                <c:pt idx="14">
                  <c:v>143.61230769230772</c:v>
                </c:pt>
                <c:pt idx="15">
                  <c:v>178.53999999999994</c:v>
                </c:pt>
                <c:pt idx="16">
                  <c:v>138.69684210526316</c:v>
                </c:pt>
                <c:pt idx="17">
                  <c:v>148.64083333333335</c:v>
                </c:pt>
                <c:pt idx="18">
                  <c:v>200.43588235294121</c:v>
                </c:pt>
                <c:pt idx="19">
                  <c:v>140.32157894736847</c:v>
                </c:pt>
                <c:pt idx="20">
                  <c:v>132.035</c:v>
                </c:pt>
                <c:pt idx="21">
                  <c:v>185.38187500000004</c:v>
                </c:pt>
                <c:pt idx="22">
                  <c:v>151.85499999999996</c:v>
                </c:pt>
                <c:pt idx="23">
                  <c:v>139.01181818181817</c:v>
                </c:pt>
                <c:pt idx="24">
                  <c:v>164.6693333333333</c:v>
                </c:pt>
                <c:pt idx="25">
                  <c:v>132.14555555555557</c:v>
                </c:pt>
                <c:pt idx="26">
                  <c:v>175.68785714285715</c:v>
                </c:pt>
                <c:pt idx="27">
                  <c:v>144.77625</c:v>
                </c:pt>
                <c:pt idx="28">
                  <c:v>111.66466666666669</c:v>
                </c:pt>
                <c:pt idx="29">
                  <c:v>164.62538461538463</c:v>
                </c:pt>
                <c:pt idx="30">
                  <c:v>173.65000000000003</c:v>
                </c:pt>
                <c:pt idx="31">
                  <c:v>127.56636363636362</c:v>
                </c:pt>
                <c:pt idx="32">
                  <c:v>100.45375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1A-41D5-87A2-81CDF87A75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18007728"/>
        <c:axId val="1118009648"/>
      </c:lineChart>
      <c:catAx>
        <c:axId val="111800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09648"/>
        <c:crosses val="autoZero"/>
        <c:auto val="1"/>
        <c:lblAlgn val="ctr"/>
        <c:lblOffset val="100"/>
        <c:noMultiLvlLbl val="0"/>
      </c:catAx>
      <c:valAx>
        <c:axId val="11180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00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startup_data!$F$1</c:f>
              <c:strCache>
                <c:ptCount val="1"/>
                <c:pt idx="0">
                  <c:v>Revenue (M USD)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 cmpd="sng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4259606594119556"/>
                  <c:y val="-8.10980540311248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startup_data!$D$2:$D$501</c:f>
              <c:numCache>
                <c:formatCode>General</c:formatCode>
                <c:ptCount val="500"/>
                <c:pt idx="0">
                  <c:v>101.09</c:v>
                </c:pt>
                <c:pt idx="1">
                  <c:v>247.62</c:v>
                </c:pt>
                <c:pt idx="2">
                  <c:v>109.24</c:v>
                </c:pt>
                <c:pt idx="3">
                  <c:v>10.75</c:v>
                </c:pt>
                <c:pt idx="4">
                  <c:v>249.28</c:v>
                </c:pt>
                <c:pt idx="5">
                  <c:v>103.89</c:v>
                </c:pt>
                <c:pt idx="6">
                  <c:v>232.26</c:v>
                </c:pt>
                <c:pt idx="7">
                  <c:v>109.15</c:v>
                </c:pt>
                <c:pt idx="8">
                  <c:v>258.39</c:v>
                </c:pt>
                <c:pt idx="9">
                  <c:v>66.239999999999995</c:v>
                </c:pt>
                <c:pt idx="10">
                  <c:v>292.38</c:v>
                </c:pt>
                <c:pt idx="11">
                  <c:v>234.04</c:v>
                </c:pt>
                <c:pt idx="12">
                  <c:v>34.71</c:v>
                </c:pt>
                <c:pt idx="13">
                  <c:v>169.95</c:v>
                </c:pt>
                <c:pt idx="14">
                  <c:v>295.62</c:v>
                </c:pt>
                <c:pt idx="15">
                  <c:v>141.58000000000001</c:v>
                </c:pt>
                <c:pt idx="16">
                  <c:v>55.04</c:v>
                </c:pt>
                <c:pt idx="17">
                  <c:v>145.69</c:v>
                </c:pt>
                <c:pt idx="18">
                  <c:v>153.97999999999999</c:v>
                </c:pt>
                <c:pt idx="19">
                  <c:v>222.64</c:v>
                </c:pt>
                <c:pt idx="20">
                  <c:v>209.8</c:v>
                </c:pt>
                <c:pt idx="21">
                  <c:v>121.06</c:v>
                </c:pt>
                <c:pt idx="22">
                  <c:v>65.8</c:v>
                </c:pt>
                <c:pt idx="23">
                  <c:v>193.69</c:v>
                </c:pt>
                <c:pt idx="24">
                  <c:v>126.8</c:v>
                </c:pt>
                <c:pt idx="25">
                  <c:v>40.119999999999997</c:v>
                </c:pt>
                <c:pt idx="26">
                  <c:v>270.22000000000003</c:v>
                </c:pt>
                <c:pt idx="27">
                  <c:v>207.52</c:v>
                </c:pt>
                <c:pt idx="28">
                  <c:v>205.11</c:v>
                </c:pt>
                <c:pt idx="29">
                  <c:v>246.86</c:v>
                </c:pt>
                <c:pt idx="30">
                  <c:v>159.13</c:v>
                </c:pt>
                <c:pt idx="31">
                  <c:v>244.61</c:v>
                </c:pt>
                <c:pt idx="32">
                  <c:v>149.68</c:v>
                </c:pt>
                <c:pt idx="33">
                  <c:v>20.62</c:v>
                </c:pt>
                <c:pt idx="34">
                  <c:v>121.87</c:v>
                </c:pt>
                <c:pt idx="35">
                  <c:v>149.49</c:v>
                </c:pt>
                <c:pt idx="36">
                  <c:v>216.2</c:v>
                </c:pt>
                <c:pt idx="37">
                  <c:v>32.42</c:v>
                </c:pt>
                <c:pt idx="38">
                  <c:v>42.44</c:v>
                </c:pt>
                <c:pt idx="39">
                  <c:v>79.47</c:v>
                </c:pt>
                <c:pt idx="40">
                  <c:v>80.319999999999993</c:v>
                </c:pt>
                <c:pt idx="41">
                  <c:v>219.79</c:v>
                </c:pt>
                <c:pt idx="42">
                  <c:v>75.59</c:v>
                </c:pt>
                <c:pt idx="43">
                  <c:v>190.11</c:v>
                </c:pt>
                <c:pt idx="44">
                  <c:v>148.54</c:v>
                </c:pt>
                <c:pt idx="45">
                  <c:v>172.2</c:v>
                </c:pt>
                <c:pt idx="46">
                  <c:v>251.51</c:v>
                </c:pt>
                <c:pt idx="47">
                  <c:v>121.61</c:v>
                </c:pt>
                <c:pt idx="48">
                  <c:v>231.39</c:v>
                </c:pt>
                <c:pt idx="49">
                  <c:v>126.9</c:v>
                </c:pt>
                <c:pt idx="50">
                  <c:v>106.48</c:v>
                </c:pt>
                <c:pt idx="51">
                  <c:v>287.61</c:v>
                </c:pt>
                <c:pt idx="52">
                  <c:v>55.72</c:v>
                </c:pt>
                <c:pt idx="53">
                  <c:v>27.56</c:v>
                </c:pt>
                <c:pt idx="54">
                  <c:v>231.41</c:v>
                </c:pt>
                <c:pt idx="55">
                  <c:v>20.94</c:v>
                </c:pt>
                <c:pt idx="56">
                  <c:v>251.21</c:v>
                </c:pt>
                <c:pt idx="57">
                  <c:v>131.44</c:v>
                </c:pt>
                <c:pt idx="58">
                  <c:v>274.7</c:v>
                </c:pt>
                <c:pt idx="59">
                  <c:v>216.6</c:v>
                </c:pt>
                <c:pt idx="60">
                  <c:v>183.32</c:v>
                </c:pt>
                <c:pt idx="61">
                  <c:v>284.82</c:v>
                </c:pt>
                <c:pt idx="62">
                  <c:v>119.3</c:v>
                </c:pt>
                <c:pt idx="63">
                  <c:v>286.25</c:v>
                </c:pt>
                <c:pt idx="64">
                  <c:v>40.93</c:v>
                </c:pt>
                <c:pt idx="65">
                  <c:v>145.38</c:v>
                </c:pt>
                <c:pt idx="66">
                  <c:v>81.34</c:v>
                </c:pt>
                <c:pt idx="67">
                  <c:v>162.18</c:v>
                </c:pt>
                <c:pt idx="68">
                  <c:v>49.02</c:v>
                </c:pt>
                <c:pt idx="69">
                  <c:v>252.54</c:v>
                </c:pt>
                <c:pt idx="70">
                  <c:v>254</c:v>
                </c:pt>
                <c:pt idx="71">
                  <c:v>286.58999999999997</c:v>
                </c:pt>
                <c:pt idx="72">
                  <c:v>46.82</c:v>
                </c:pt>
                <c:pt idx="73">
                  <c:v>187.19</c:v>
                </c:pt>
                <c:pt idx="74">
                  <c:v>142.53</c:v>
                </c:pt>
                <c:pt idx="75">
                  <c:v>103.64</c:v>
                </c:pt>
                <c:pt idx="76">
                  <c:v>105.79</c:v>
                </c:pt>
                <c:pt idx="77">
                  <c:v>124.13</c:v>
                </c:pt>
                <c:pt idx="78">
                  <c:v>211.63</c:v>
                </c:pt>
                <c:pt idx="79">
                  <c:v>179.69</c:v>
                </c:pt>
                <c:pt idx="80">
                  <c:v>138.16999999999999</c:v>
                </c:pt>
                <c:pt idx="81">
                  <c:v>23.24</c:v>
                </c:pt>
                <c:pt idx="82">
                  <c:v>23.79</c:v>
                </c:pt>
                <c:pt idx="83">
                  <c:v>1.2</c:v>
                </c:pt>
                <c:pt idx="84">
                  <c:v>290.33</c:v>
                </c:pt>
                <c:pt idx="85">
                  <c:v>2.0699999999999998</c:v>
                </c:pt>
                <c:pt idx="86">
                  <c:v>31.38</c:v>
                </c:pt>
                <c:pt idx="87">
                  <c:v>94.72</c:v>
                </c:pt>
                <c:pt idx="88">
                  <c:v>242.33</c:v>
                </c:pt>
                <c:pt idx="89">
                  <c:v>288.64999999999998</c:v>
                </c:pt>
                <c:pt idx="90">
                  <c:v>237.11</c:v>
                </c:pt>
                <c:pt idx="91">
                  <c:v>207.32</c:v>
                </c:pt>
                <c:pt idx="92">
                  <c:v>156.63</c:v>
                </c:pt>
                <c:pt idx="93">
                  <c:v>26.47</c:v>
                </c:pt>
                <c:pt idx="94">
                  <c:v>287.47000000000003</c:v>
                </c:pt>
                <c:pt idx="95">
                  <c:v>227.64</c:v>
                </c:pt>
                <c:pt idx="96">
                  <c:v>191.87</c:v>
                </c:pt>
                <c:pt idx="97">
                  <c:v>227.83</c:v>
                </c:pt>
                <c:pt idx="98">
                  <c:v>217.37</c:v>
                </c:pt>
                <c:pt idx="99">
                  <c:v>191.35</c:v>
                </c:pt>
                <c:pt idx="100">
                  <c:v>294.18</c:v>
                </c:pt>
                <c:pt idx="101">
                  <c:v>271.06</c:v>
                </c:pt>
                <c:pt idx="102">
                  <c:v>194.18</c:v>
                </c:pt>
                <c:pt idx="103">
                  <c:v>208.11</c:v>
                </c:pt>
                <c:pt idx="104">
                  <c:v>15.95</c:v>
                </c:pt>
                <c:pt idx="105">
                  <c:v>201.14</c:v>
                </c:pt>
                <c:pt idx="106">
                  <c:v>13.73</c:v>
                </c:pt>
                <c:pt idx="107">
                  <c:v>176.68</c:v>
                </c:pt>
                <c:pt idx="108">
                  <c:v>299.81</c:v>
                </c:pt>
                <c:pt idx="109">
                  <c:v>166.96</c:v>
                </c:pt>
                <c:pt idx="110">
                  <c:v>142.22999999999999</c:v>
                </c:pt>
                <c:pt idx="111">
                  <c:v>94.2</c:v>
                </c:pt>
                <c:pt idx="112">
                  <c:v>36.6</c:v>
                </c:pt>
                <c:pt idx="113">
                  <c:v>219.44</c:v>
                </c:pt>
                <c:pt idx="114">
                  <c:v>58.18</c:v>
                </c:pt>
                <c:pt idx="115">
                  <c:v>35.03</c:v>
                </c:pt>
                <c:pt idx="116">
                  <c:v>126.82</c:v>
                </c:pt>
                <c:pt idx="117">
                  <c:v>238.7</c:v>
                </c:pt>
                <c:pt idx="118">
                  <c:v>223.65</c:v>
                </c:pt>
                <c:pt idx="119">
                  <c:v>16.940000000000001</c:v>
                </c:pt>
                <c:pt idx="120">
                  <c:v>136.82</c:v>
                </c:pt>
                <c:pt idx="121">
                  <c:v>156.97</c:v>
                </c:pt>
                <c:pt idx="122">
                  <c:v>193.54</c:v>
                </c:pt>
                <c:pt idx="123">
                  <c:v>195.23</c:v>
                </c:pt>
                <c:pt idx="124">
                  <c:v>109.73</c:v>
                </c:pt>
                <c:pt idx="125">
                  <c:v>168.42</c:v>
                </c:pt>
                <c:pt idx="126">
                  <c:v>144.58000000000001</c:v>
                </c:pt>
                <c:pt idx="127">
                  <c:v>265.56</c:v>
                </c:pt>
                <c:pt idx="128">
                  <c:v>159.31</c:v>
                </c:pt>
                <c:pt idx="129">
                  <c:v>132.59</c:v>
                </c:pt>
                <c:pt idx="130">
                  <c:v>121.64</c:v>
                </c:pt>
                <c:pt idx="131">
                  <c:v>171.94</c:v>
                </c:pt>
                <c:pt idx="132">
                  <c:v>241.29</c:v>
                </c:pt>
                <c:pt idx="133">
                  <c:v>161.75</c:v>
                </c:pt>
                <c:pt idx="134">
                  <c:v>198.67</c:v>
                </c:pt>
                <c:pt idx="135">
                  <c:v>221.49</c:v>
                </c:pt>
                <c:pt idx="136">
                  <c:v>156.29</c:v>
                </c:pt>
                <c:pt idx="137">
                  <c:v>128.33000000000001</c:v>
                </c:pt>
                <c:pt idx="138">
                  <c:v>263.06</c:v>
                </c:pt>
                <c:pt idx="139">
                  <c:v>125.54</c:v>
                </c:pt>
                <c:pt idx="140">
                  <c:v>138.85</c:v>
                </c:pt>
                <c:pt idx="141">
                  <c:v>297.11</c:v>
                </c:pt>
                <c:pt idx="142">
                  <c:v>0.56999999999999995</c:v>
                </c:pt>
                <c:pt idx="143">
                  <c:v>56.05</c:v>
                </c:pt>
                <c:pt idx="144">
                  <c:v>115.5</c:v>
                </c:pt>
                <c:pt idx="145">
                  <c:v>279.81</c:v>
                </c:pt>
                <c:pt idx="146">
                  <c:v>21.47</c:v>
                </c:pt>
                <c:pt idx="147">
                  <c:v>3.34</c:v>
                </c:pt>
                <c:pt idx="148">
                  <c:v>16.28</c:v>
                </c:pt>
                <c:pt idx="149">
                  <c:v>27.02</c:v>
                </c:pt>
                <c:pt idx="150">
                  <c:v>11.76</c:v>
                </c:pt>
                <c:pt idx="151">
                  <c:v>144.19</c:v>
                </c:pt>
                <c:pt idx="152">
                  <c:v>174.44</c:v>
                </c:pt>
                <c:pt idx="153">
                  <c:v>81.87</c:v>
                </c:pt>
                <c:pt idx="154">
                  <c:v>119.79</c:v>
                </c:pt>
                <c:pt idx="155">
                  <c:v>27.96</c:v>
                </c:pt>
                <c:pt idx="156">
                  <c:v>101.24</c:v>
                </c:pt>
                <c:pt idx="157">
                  <c:v>156.99</c:v>
                </c:pt>
                <c:pt idx="158">
                  <c:v>219.82</c:v>
                </c:pt>
                <c:pt idx="159">
                  <c:v>1.5</c:v>
                </c:pt>
                <c:pt idx="160">
                  <c:v>140.46</c:v>
                </c:pt>
                <c:pt idx="161">
                  <c:v>89.45</c:v>
                </c:pt>
                <c:pt idx="162">
                  <c:v>255.92</c:v>
                </c:pt>
                <c:pt idx="163">
                  <c:v>214.81</c:v>
                </c:pt>
                <c:pt idx="164">
                  <c:v>176.94</c:v>
                </c:pt>
                <c:pt idx="165">
                  <c:v>83.54</c:v>
                </c:pt>
                <c:pt idx="166">
                  <c:v>273.14999999999998</c:v>
                </c:pt>
                <c:pt idx="167">
                  <c:v>14.01</c:v>
                </c:pt>
                <c:pt idx="168">
                  <c:v>33.29</c:v>
                </c:pt>
                <c:pt idx="169">
                  <c:v>117.79</c:v>
                </c:pt>
                <c:pt idx="170">
                  <c:v>37.770000000000003</c:v>
                </c:pt>
                <c:pt idx="171">
                  <c:v>286.95</c:v>
                </c:pt>
                <c:pt idx="172">
                  <c:v>239.5</c:v>
                </c:pt>
                <c:pt idx="173">
                  <c:v>78.069999999999993</c:v>
                </c:pt>
                <c:pt idx="174">
                  <c:v>176.77</c:v>
                </c:pt>
                <c:pt idx="175">
                  <c:v>294.70999999999998</c:v>
                </c:pt>
                <c:pt idx="176">
                  <c:v>265.32</c:v>
                </c:pt>
                <c:pt idx="177">
                  <c:v>180.44</c:v>
                </c:pt>
                <c:pt idx="178">
                  <c:v>271.17</c:v>
                </c:pt>
                <c:pt idx="179">
                  <c:v>296.76</c:v>
                </c:pt>
                <c:pt idx="180">
                  <c:v>223.13</c:v>
                </c:pt>
                <c:pt idx="181">
                  <c:v>19.96</c:v>
                </c:pt>
                <c:pt idx="182">
                  <c:v>120.77</c:v>
                </c:pt>
                <c:pt idx="183">
                  <c:v>251.43</c:v>
                </c:pt>
                <c:pt idx="184">
                  <c:v>69.56</c:v>
                </c:pt>
                <c:pt idx="185">
                  <c:v>249.28</c:v>
                </c:pt>
                <c:pt idx="186">
                  <c:v>36.54</c:v>
                </c:pt>
                <c:pt idx="187">
                  <c:v>14.56</c:v>
                </c:pt>
                <c:pt idx="188">
                  <c:v>115.54</c:v>
                </c:pt>
                <c:pt idx="189">
                  <c:v>11.5</c:v>
                </c:pt>
                <c:pt idx="190">
                  <c:v>287.2</c:v>
                </c:pt>
                <c:pt idx="191">
                  <c:v>247.95</c:v>
                </c:pt>
                <c:pt idx="192">
                  <c:v>240.33</c:v>
                </c:pt>
                <c:pt idx="193">
                  <c:v>189.12</c:v>
                </c:pt>
                <c:pt idx="194">
                  <c:v>65.290000000000006</c:v>
                </c:pt>
                <c:pt idx="195">
                  <c:v>155.72</c:v>
                </c:pt>
                <c:pt idx="196">
                  <c:v>179.38</c:v>
                </c:pt>
                <c:pt idx="197">
                  <c:v>157.75</c:v>
                </c:pt>
                <c:pt idx="198">
                  <c:v>78.44</c:v>
                </c:pt>
                <c:pt idx="199">
                  <c:v>154.82</c:v>
                </c:pt>
                <c:pt idx="200">
                  <c:v>147.61000000000001</c:v>
                </c:pt>
                <c:pt idx="201">
                  <c:v>298.89999999999998</c:v>
                </c:pt>
                <c:pt idx="202">
                  <c:v>269.27999999999997</c:v>
                </c:pt>
                <c:pt idx="203">
                  <c:v>139.28</c:v>
                </c:pt>
                <c:pt idx="204">
                  <c:v>187.07</c:v>
                </c:pt>
                <c:pt idx="205">
                  <c:v>224.49</c:v>
                </c:pt>
                <c:pt idx="206">
                  <c:v>10.94</c:v>
                </c:pt>
                <c:pt idx="207">
                  <c:v>268.52999999999997</c:v>
                </c:pt>
                <c:pt idx="208">
                  <c:v>258.11</c:v>
                </c:pt>
                <c:pt idx="209">
                  <c:v>137.5</c:v>
                </c:pt>
                <c:pt idx="210">
                  <c:v>117.66</c:v>
                </c:pt>
                <c:pt idx="211">
                  <c:v>82.25</c:v>
                </c:pt>
                <c:pt idx="212">
                  <c:v>143.26</c:v>
                </c:pt>
                <c:pt idx="213">
                  <c:v>13.79</c:v>
                </c:pt>
                <c:pt idx="214">
                  <c:v>255.73</c:v>
                </c:pt>
                <c:pt idx="215">
                  <c:v>11.11</c:v>
                </c:pt>
                <c:pt idx="216">
                  <c:v>99.05</c:v>
                </c:pt>
                <c:pt idx="217">
                  <c:v>279.51</c:v>
                </c:pt>
                <c:pt idx="218">
                  <c:v>220.7</c:v>
                </c:pt>
                <c:pt idx="219">
                  <c:v>84.78</c:v>
                </c:pt>
                <c:pt idx="220">
                  <c:v>76.17</c:v>
                </c:pt>
                <c:pt idx="221">
                  <c:v>2.02</c:v>
                </c:pt>
                <c:pt idx="222">
                  <c:v>208.87</c:v>
                </c:pt>
                <c:pt idx="223">
                  <c:v>15.11</c:v>
                </c:pt>
                <c:pt idx="224">
                  <c:v>160.01</c:v>
                </c:pt>
                <c:pt idx="225">
                  <c:v>288.66000000000003</c:v>
                </c:pt>
                <c:pt idx="226">
                  <c:v>33.29</c:v>
                </c:pt>
                <c:pt idx="227">
                  <c:v>268.39999999999998</c:v>
                </c:pt>
                <c:pt idx="228">
                  <c:v>297.45</c:v>
                </c:pt>
                <c:pt idx="229">
                  <c:v>18.920000000000002</c:v>
                </c:pt>
                <c:pt idx="230">
                  <c:v>264.93</c:v>
                </c:pt>
                <c:pt idx="231">
                  <c:v>155.07</c:v>
                </c:pt>
                <c:pt idx="232">
                  <c:v>272</c:v>
                </c:pt>
                <c:pt idx="233">
                  <c:v>171.61</c:v>
                </c:pt>
                <c:pt idx="234">
                  <c:v>198.8</c:v>
                </c:pt>
                <c:pt idx="235">
                  <c:v>163.36000000000001</c:v>
                </c:pt>
                <c:pt idx="236">
                  <c:v>259.42</c:v>
                </c:pt>
                <c:pt idx="237">
                  <c:v>220.31</c:v>
                </c:pt>
                <c:pt idx="238">
                  <c:v>156.62</c:v>
                </c:pt>
                <c:pt idx="239">
                  <c:v>260.51</c:v>
                </c:pt>
                <c:pt idx="240">
                  <c:v>73.959999999999994</c:v>
                </c:pt>
                <c:pt idx="241">
                  <c:v>47.62</c:v>
                </c:pt>
                <c:pt idx="242">
                  <c:v>48.54</c:v>
                </c:pt>
                <c:pt idx="243">
                  <c:v>100.54</c:v>
                </c:pt>
                <c:pt idx="244">
                  <c:v>71.989999999999995</c:v>
                </c:pt>
                <c:pt idx="245">
                  <c:v>279.06</c:v>
                </c:pt>
                <c:pt idx="246">
                  <c:v>32.200000000000003</c:v>
                </c:pt>
                <c:pt idx="247">
                  <c:v>209.85</c:v>
                </c:pt>
                <c:pt idx="248">
                  <c:v>57.17</c:v>
                </c:pt>
                <c:pt idx="249">
                  <c:v>264.55</c:v>
                </c:pt>
                <c:pt idx="250">
                  <c:v>288.41000000000003</c:v>
                </c:pt>
                <c:pt idx="251">
                  <c:v>139.91</c:v>
                </c:pt>
                <c:pt idx="252">
                  <c:v>263.77999999999997</c:v>
                </c:pt>
                <c:pt idx="253">
                  <c:v>2.04</c:v>
                </c:pt>
                <c:pt idx="254">
                  <c:v>246.07</c:v>
                </c:pt>
                <c:pt idx="255">
                  <c:v>68.97</c:v>
                </c:pt>
                <c:pt idx="256">
                  <c:v>272.66000000000003</c:v>
                </c:pt>
                <c:pt idx="257">
                  <c:v>0.84</c:v>
                </c:pt>
                <c:pt idx="258">
                  <c:v>167.08</c:v>
                </c:pt>
                <c:pt idx="259">
                  <c:v>227.11</c:v>
                </c:pt>
                <c:pt idx="260">
                  <c:v>77.98</c:v>
                </c:pt>
                <c:pt idx="261">
                  <c:v>58.34</c:v>
                </c:pt>
                <c:pt idx="262">
                  <c:v>25.69</c:v>
                </c:pt>
                <c:pt idx="263">
                  <c:v>98.27</c:v>
                </c:pt>
                <c:pt idx="264">
                  <c:v>168.17</c:v>
                </c:pt>
                <c:pt idx="265">
                  <c:v>35.200000000000003</c:v>
                </c:pt>
                <c:pt idx="266">
                  <c:v>113.32</c:v>
                </c:pt>
                <c:pt idx="267">
                  <c:v>3.22</c:v>
                </c:pt>
                <c:pt idx="268">
                  <c:v>245.69</c:v>
                </c:pt>
                <c:pt idx="269">
                  <c:v>38.97</c:v>
                </c:pt>
                <c:pt idx="270">
                  <c:v>85.36</c:v>
                </c:pt>
                <c:pt idx="271">
                  <c:v>6.02</c:v>
                </c:pt>
                <c:pt idx="272">
                  <c:v>129.96</c:v>
                </c:pt>
                <c:pt idx="273">
                  <c:v>252.12</c:v>
                </c:pt>
                <c:pt idx="274">
                  <c:v>117.95</c:v>
                </c:pt>
                <c:pt idx="275">
                  <c:v>54.26</c:v>
                </c:pt>
                <c:pt idx="276">
                  <c:v>226.23</c:v>
                </c:pt>
                <c:pt idx="277">
                  <c:v>236.75</c:v>
                </c:pt>
                <c:pt idx="278">
                  <c:v>52.54</c:v>
                </c:pt>
                <c:pt idx="279">
                  <c:v>231.37</c:v>
                </c:pt>
                <c:pt idx="280">
                  <c:v>284.22000000000003</c:v>
                </c:pt>
                <c:pt idx="281">
                  <c:v>50.33</c:v>
                </c:pt>
                <c:pt idx="282">
                  <c:v>231.41</c:v>
                </c:pt>
                <c:pt idx="283">
                  <c:v>212.72</c:v>
                </c:pt>
                <c:pt idx="284">
                  <c:v>142.34</c:v>
                </c:pt>
                <c:pt idx="285">
                  <c:v>17.850000000000001</c:v>
                </c:pt>
                <c:pt idx="286">
                  <c:v>22.87</c:v>
                </c:pt>
                <c:pt idx="287">
                  <c:v>255.8</c:v>
                </c:pt>
                <c:pt idx="288">
                  <c:v>297.05</c:v>
                </c:pt>
                <c:pt idx="289">
                  <c:v>202.98</c:v>
                </c:pt>
                <c:pt idx="290">
                  <c:v>134.06</c:v>
                </c:pt>
                <c:pt idx="291">
                  <c:v>194.45</c:v>
                </c:pt>
                <c:pt idx="292">
                  <c:v>178.52</c:v>
                </c:pt>
                <c:pt idx="293">
                  <c:v>115.39</c:v>
                </c:pt>
                <c:pt idx="294">
                  <c:v>20.16</c:v>
                </c:pt>
                <c:pt idx="295">
                  <c:v>246.54</c:v>
                </c:pt>
                <c:pt idx="296">
                  <c:v>111.86</c:v>
                </c:pt>
                <c:pt idx="297">
                  <c:v>245.73</c:v>
                </c:pt>
                <c:pt idx="298">
                  <c:v>76.13</c:v>
                </c:pt>
                <c:pt idx="299">
                  <c:v>0.81</c:v>
                </c:pt>
                <c:pt idx="300">
                  <c:v>48.1</c:v>
                </c:pt>
                <c:pt idx="301">
                  <c:v>140.83000000000001</c:v>
                </c:pt>
                <c:pt idx="302">
                  <c:v>283.32</c:v>
                </c:pt>
                <c:pt idx="303">
                  <c:v>31.11</c:v>
                </c:pt>
                <c:pt idx="304">
                  <c:v>256.33999999999997</c:v>
                </c:pt>
                <c:pt idx="305">
                  <c:v>158.34</c:v>
                </c:pt>
                <c:pt idx="306">
                  <c:v>247.86</c:v>
                </c:pt>
                <c:pt idx="307">
                  <c:v>89.86</c:v>
                </c:pt>
                <c:pt idx="308">
                  <c:v>252.06</c:v>
                </c:pt>
                <c:pt idx="309">
                  <c:v>231.96</c:v>
                </c:pt>
                <c:pt idx="310">
                  <c:v>69.400000000000006</c:v>
                </c:pt>
                <c:pt idx="311">
                  <c:v>39.83</c:v>
                </c:pt>
                <c:pt idx="312">
                  <c:v>260.48</c:v>
                </c:pt>
                <c:pt idx="313">
                  <c:v>288.99</c:v>
                </c:pt>
                <c:pt idx="314">
                  <c:v>9.8800000000000008</c:v>
                </c:pt>
                <c:pt idx="315">
                  <c:v>219.52</c:v>
                </c:pt>
                <c:pt idx="316">
                  <c:v>272.89999999999998</c:v>
                </c:pt>
                <c:pt idx="317">
                  <c:v>257.27999999999997</c:v>
                </c:pt>
                <c:pt idx="318">
                  <c:v>289.37</c:v>
                </c:pt>
                <c:pt idx="319">
                  <c:v>228.15</c:v>
                </c:pt>
                <c:pt idx="320">
                  <c:v>132.97</c:v>
                </c:pt>
                <c:pt idx="321">
                  <c:v>93.93</c:v>
                </c:pt>
                <c:pt idx="322">
                  <c:v>96.56</c:v>
                </c:pt>
                <c:pt idx="323">
                  <c:v>217.46</c:v>
                </c:pt>
                <c:pt idx="324">
                  <c:v>223.88</c:v>
                </c:pt>
                <c:pt idx="325">
                  <c:v>60.51</c:v>
                </c:pt>
                <c:pt idx="326">
                  <c:v>260.5</c:v>
                </c:pt>
                <c:pt idx="327">
                  <c:v>214.62</c:v>
                </c:pt>
                <c:pt idx="328">
                  <c:v>169.04</c:v>
                </c:pt>
                <c:pt idx="329">
                  <c:v>141.72</c:v>
                </c:pt>
                <c:pt idx="330">
                  <c:v>163.19999999999999</c:v>
                </c:pt>
                <c:pt idx="331">
                  <c:v>48.19</c:v>
                </c:pt>
                <c:pt idx="332">
                  <c:v>61.51</c:v>
                </c:pt>
                <c:pt idx="333">
                  <c:v>27.8</c:v>
                </c:pt>
                <c:pt idx="334">
                  <c:v>46.52</c:v>
                </c:pt>
                <c:pt idx="335">
                  <c:v>136.38</c:v>
                </c:pt>
                <c:pt idx="336">
                  <c:v>159.34</c:v>
                </c:pt>
                <c:pt idx="337">
                  <c:v>5.85</c:v>
                </c:pt>
                <c:pt idx="338">
                  <c:v>239.14</c:v>
                </c:pt>
                <c:pt idx="339">
                  <c:v>88.6</c:v>
                </c:pt>
                <c:pt idx="340">
                  <c:v>273.58999999999997</c:v>
                </c:pt>
                <c:pt idx="341">
                  <c:v>290.27</c:v>
                </c:pt>
                <c:pt idx="342">
                  <c:v>56.04</c:v>
                </c:pt>
                <c:pt idx="343">
                  <c:v>138.9</c:v>
                </c:pt>
                <c:pt idx="344">
                  <c:v>0.87</c:v>
                </c:pt>
                <c:pt idx="345">
                  <c:v>179.7</c:v>
                </c:pt>
                <c:pt idx="346">
                  <c:v>182.39</c:v>
                </c:pt>
                <c:pt idx="347">
                  <c:v>74.64</c:v>
                </c:pt>
                <c:pt idx="348">
                  <c:v>167.74</c:v>
                </c:pt>
                <c:pt idx="349">
                  <c:v>68.05</c:v>
                </c:pt>
                <c:pt idx="350">
                  <c:v>48.67</c:v>
                </c:pt>
                <c:pt idx="351">
                  <c:v>195.63</c:v>
                </c:pt>
                <c:pt idx="352">
                  <c:v>98.11</c:v>
                </c:pt>
                <c:pt idx="353">
                  <c:v>177.28</c:v>
                </c:pt>
                <c:pt idx="354">
                  <c:v>130.26</c:v>
                </c:pt>
                <c:pt idx="355">
                  <c:v>295.31</c:v>
                </c:pt>
                <c:pt idx="356">
                  <c:v>45.3</c:v>
                </c:pt>
                <c:pt idx="357">
                  <c:v>139.65</c:v>
                </c:pt>
                <c:pt idx="358">
                  <c:v>204.3</c:v>
                </c:pt>
                <c:pt idx="359">
                  <c:v>118.97</c:v>
                </c:pt>
                <c:pt idx="360">
                  <c:v>292.42</c:v>
                </c:pt>
                <c:pt idx="361">
                  <c:v>216.71</c:v>
                </c:pt>
                <c:pt idx="362">
                  <c:v>197.27</c:v>
                </c:pt>
                <c:pt idx="363">
                  <c:v>227.24</c:v>
                </c:pt>
                <c:pt idx="364">
                  <c:v>285.82</c:v>
                </c:pt>
                <c:pt idx="365">
                  <c:v>272.39</c:v>
                </c:pt>
                <c:pt idx="366">
                  <c:v>217.42</c:v>
                </c:pt>
                <c:pt idx="367">
                  <c:v>224.87</c:v>
                </c:pt>
                <c:pt idx="368">
                  <c:v>44.2</c:v>
                </c:pt>
                <c:pt idx="369">
                  <c:v>31.29</c:v>
                </c:pt>
                <c:pt idx="370">
                  <c:v>171.49</c:v>
                </c:pt>
                <c:pt idx="371">
                  <c:v>6</c:v>
                </c:pt>
                <c:pt idx="372">
                  <c:v>144.97</c:v>
                </c:pt>
                <c:pt idx="373">
                  <c:v>63.5</c:v>
                </c:pt>
                <c:pt idx="374">
                  <c:v>104.13</c:v>
                </c:pt>
                <c:pt idx="375">
                  <c:v>232.85</c:v>
                </c:pt>
                <c:pt idx="376">
                  <c:v>282.39999999999998</c:v>
                </c:pt>
                <c:pt idx="377">
                  <c:v>22.19</c:v>
                </c:pt>
                <c:pt idx="378">
                  <c:v>160.51</c:v>
                </c:pt>
                <c:pt idx="379">
                  <c:v>264.82</c:v>
                </c:pt>
                <c:pt idx="380">
                  <c:v>25.21</c:v>
                </c:pt>
                <c:pt idx="381">
                  <c:v>247.44</c:v>
                </c:pt>
                <c:pt idx="382">
                  <c:v>107.66</c:v>
                </c:pt>
                <c:pt idx="383">
                  <c:v>96.97</c:v>
                </c:pt>
                <c:pt idx="384">
                  <c:v>293.25</c:v>
                </c:pt>
                <c:pt idx="385">
                  <c:v>60.66</c:v>
                </c:pt>
                <c:pt idx="386">
                  <c:v>208.11</c:v>
                </c:pt>
                <c:pt idx="387">
                  <c:v>246.52</c:v>
                </c:pt>
                <c:pt idx="388">
                  <c:v>12.83</c:v>
                </c:pt>
                <c:pt idx="389">
                  <c:v>201.28</c:v>
                </c:pt>
                <c:pt idx="390">
                  <c:v>285.49</c:v>
                </c:pt>
                <c:pt idx="391">
                  <c:v>37.700000000000003</c:v>
                </c:pt>
                <c:pt idx="392">
                  <c:v>268.92</c:v>
                </c:pt>
                <c:pt idx="393">
                  <c:v>178.64</c:v>
                </c:pt>
                <c:pt idx="394">
                  <c:v>185.17</c:v>
                </c:pt>
                <c:pt idx="395">
                  <c:v>184.08</c:v>
                </c:pt>
                <c:pt idx="396">
                  <c:v>90</c:v>
                </c:pt>
                <c:pt idx="397">
                  <c:v>280.58999999999997</c:v>
                </c:pt>
                <c:pt idx="398">
                  <c:v>284.23</c:v>
                </c:pt>
                <c:pt idx="399">
                  <c:v>187.78</c:v>
                </c:pt>
                <c:pt idx="400">
                  <c:v>235.14</c:v>
                </c:pt>
                <c:pt idx="401">
                  <c:v>183.87</c:v>
                </c:pt>
                <c:pt idx="402">
                  <c:v>145.58000000000001</c:v>
                </c:pt>
                <c:pt idx="403">
                  <c:v>198.42</c:v>
                </c:pt>
                <c:pt idx="404">
                  <c:v>166.12</c:v>
                </c:pt>
                <c:pt idx="405">
                  <c:v>179.44</c:v>
                </c:pt>
                <c:pt idx="406">
                  <c:v>235.26</c:v>
                </c:pt>
                <c:pt idx="407">
                  <c:v>144.53</c:v>
                </c:pt>
                <c:pt idx="408">
                  <c:v>12.71</c:v>
                </c:pt>
                <c:pt idx="409">
                  <c:v>49.62</c:v>
                </c:pt>
                <c:pt idx="410">
                  <c:v>131.86000000000001</c:v>
                </c:pt>
                <c:pt idx="411">
                  <c:v>217.59</c:v>
                </c:pt>
                <c:pt idx="412">
                  <c:v>178.19</c:v>
                </c:pt>
                <c:pt idx="413">
                  <c:v>195.26</c:v>
                </c:pt>
                <c:pt idx="414">
                  <c:v>144.04</c:v>
                </c:pt>
                <c:pt idx="415">
                  <c:v>184.91</c:v>
                </c:pt>
                <c:pt idx="416">
                  <c:v>99.04</c:v>
                </c:pt>
                <c:pt idx="417">
                  <c:v>141.32</c:v>
                </c:pt>
                <c:pt idx="418">
                  <c:v>223.41</c:v>
                </c:pt>
                <c:pt idx="419">
                  <c:v>261.61</c:v>
                </c:pt>
                <c:pt idx="420">
                  <c:v>130.38</c:v>
                </c:pt>
                <c:pt idx="421">
                  <c:v>13.58</c:v>
                </c:pt>
                <c:pt idx="422">
                  <c:v>48.92</c:v>
                </c:pt>
                <c:pt idx="423">
                  <c:v>6.75</c:v>
                </c:pt>
                <c:pt idx="424">
                  <c:v>196.15</c:v>
                </c:pt>
                <c:pt idx="425">
                  <c:v>100.03</c:v>
                </c:pt>
                <c:pt idx="426">
                  <c:v>162.97</c:v>
                </c:pt>
                <c:pt idx="427">
                  <c:v>148.24</c:v>
                </c:pt>
                <c:pt idx="428">
                  <c:v>24.92</c:v>
                </c:pt>
                <c:pt idx="429">
                  <c:v>121.28</c:v>
                </c:pt>
                <c:pt idx="430">
                  <c:v>66.56</c:v>
                </c:pt>
                <c:pt idx="431">
                  <c:v>125.81</c:v>
                </c:pt>
                <c:pt idx="432">
                  <c:v>61.47</c:v>
                </c:pt>
                <c:pt idx="433">
                  <c:v>252.22</c:v>
                </c:pt>
                <c:pt idx="434">
                  <c:v>52.67</c:v>
                </c:pt>
                <c:pt idx="435">
                  <c:v>288.25</c:v>
                </c:pt>
                <c:pt idx="436">
                  <c:v>125.06</c:v>
                </c:pt>
                <c:pt idx="437">
                  <c:v>253.95</c:v>
                </c:pt>
                <c:pt idx="438">
                  <c:v>188.82</c:v>
                </c:pt>
                <c:pt idx="439">
                  <c:v>220.74</c:v>
                </c:pt>
                <c:pt idx="440">
                  <c:v>230.43</c:v>
                </c:pt>
                <c:pt idx="441">
                  <c:v>151.69999999999999</c:v>
                </c:pt>
                <c:pt idx="442">
                  <c:v>163.22</c:v>
                </c:pt>
                <c:pt idx="443">
                  <c:v>154.44</c:v>
                </c:pt>
                <c:pt idx="444">
                  <c:v>176.62</c:v>
                </c:pt>
                <c:pt idx="445">
                  <c:v>9.3000000000000007</c:v>
                </c:pt>
                <c:pt idx="446">
                  <c:v>118.96</c:v>
                </c:pt>
                <c:pt idx="447">
                  <c:v>182.05</c:v>
                </c:pt>
                <c:pt idx="448">
                  <c:v>179.52</c:v>
                </c:pt>
                <c:pt idx="449">
                  <c:v>237.99</c:v>
                </c:pt>
                <c:pt idx="450">
                  <c:v>196.68</c:v>
                </c:pt>
                <c:pt idx="451">
                  <c:v>297.64</c:v>
                </c:pt>
                <c:pt idx="452">
                  <c:v>85.51</c:v>
                </c:pt>
                <c:pt idx="453">
                  <c:v>108.07</c:v>
                </c:pt>
                <c:pt idx="454">
                  <c:v>115.46</c:v>
                </c:pt>
                <c:pt idx="455">
                  <c:v>140.01</c:v>
                </c:pt>
                <c:pt idx="456">
                  <c:v>250.88</c:v>
                </c:pt>
                <c:pt idx="457">
                  <c:v>71.12</c:v>
                </c:pt>
                <c:pt idx="458">
                  <c:v>232.91</c:v>
                </c:pt>
                <c:pt idx="459">
                  <c:v>121.89</c:v>
                </c:pt>
                <c:pt idx="460">
                  <c:v>180.76</c:v>
                </c:pt>
                <c:pt idx="461">
                  <c:v>189.95</c:v>
                </c:pt>
                <c:pt idx="462">
                  <c:v>112.17</c:v>
                </c:pt>
                <c:pt idx="463">
                  <c:v>154.03</c:v>
                </c:pt>
                <c:pt idx="464">
                  <c:v>124.2</c:v>
                </c:pt>
                <c:pt idx="465">
                  <c:v>21.21</c:v>
                </c:pt>
                <c:pt idx="466">
                  <c:v>131.43</c:v>
                </c:pt>
                <c:pt idx="467">
                  <c:v>29.67</c:v>
                </c:pt>
                <c:pt idx="468">
                  <c:v>121.8</c:v>
                </c:pt>
                <c:pt idx="469">
                  <c:v>178.08</c:v>
                </c:pt>
                <c:pt idx="470">
                  <c:v>174.03</c:v>
                </c:pt>
                <c:pt idx="471">
                  <c:v>198.96</c:v>
                </c:pt>
                <c:pt idx="472">
                  <c:v>29.03</c:v>
                </c:pt>
                <c:pt idx="473">
                  <c:v>195.81</c:v>
                </c:pt>
                <c:pt idx="474">
                  <c:v>93.99</c:v>
                </c:pt>
                <c:pt idx="475">
                  <c:v>120.01</c:v>
                </c:pt>
                <c:pt idx="476">
                  <c:v>257.47000000000003</c:v>
                </c:pt>
                <c:pt idx="477">
                  <c:v>3.2</c:v>
                </c:pt>
                <c:pt idx="478">
                  <c:v>176.73</c:v>
                </c:pt>
                <c:pt idx="479">
                  <c:v>179.81</c:v>
                </c:pt>
                <c:pt idx="480">
                  <c:v>119.3</c:v>
                </c:pt>
                <c:pt idx="481">
                  <c:v>71.489999999999995</c:v>
                </c:pt>
                <c:pt idx="482">
                  <c:v>70.78</c:v>
                </c:pt>
                <c:pt idx="483">
                  <c:v>265.17</c:v>
                </c:pt>
                <c:pt idx="484">
                  <c:v>132.88999999999999</c:v>
                </c:pt>
                <c:pt idx="485">
                  <c:v>99.6</c:v>
                </c:pt>
                <c:pt idx="486">
                  <c:v>134.91</c:v>
                </c:pt>
                <c:pt idx="487">
                  <c:v>200.98</c:v>
                </c:pt>
                <c:pt idx="488">
                  <c:v>44.15</c:v>
                </c:pt>
                <c:pt idx="489">
                  <c:v>135.11000000000001</c:v>
                </c:pt>
                <c:pt idx="490">
                  <c:v>176.57</c:v>
                </c:pt>
                <c:pt idx="491">
                  <c:v>284.60000000000002</c:v>
                </c:pt>
                <c:pt idx="492">
                  <c:v>76.13</c:v>
                </c:pt>
                <c:pt idx="493">
                  <c:v>108.1</c:v>
                </c:pt>
                <c:pt idx="494">
                  <c:v>114.12</c:v>
                </c:pt>
                <c:pt idx="495">
                  <c:v>181.86</c:v>
                </c:pt>
                <c:pt idx="496">
                  <c:v>107.34</c:v>
                </c:pt>
                <c:pt idx="497">
                  <c:v>160.29</c:v>
                </c:pt>
                <c:pt idx="498">
                  <c:v>234.65</c:v>
                </c:pt>
                <c:pt idx="499">
                  <c:v>211.76</c:v>
                </c:pt>
              </c:numCache>
            </c:numRef>
          </c:xVal>
          <c:yVal>
            <c:numRef>
              <c:f>startup_data!$F$2:$F$501</c:f>
              <c:numCache>
                <c:formatCode>General</c:formatCode>
                <c:ptCount val="500"/>
                <c:pt idx="0">
                  <c:v>67.87</c:v>
                </c:pt>
                <c:pt idx="1">
                  <c:v>75.650000000000006</c:v>
                </c:pt>
                <c:pt idx="2">
                  <c:v>84.21</c:v>
                </c:pt>
                <c:pt idx="3">
                  <c:v>47.08</c:v>
                </c:pt>
                <c:pt idx="4">
                  <c:v>50.25</c:v>
                </c:pt>
                <c:pt idx="5">
                  <c:v>12.56</c:v>
                </c:pt>
                <c:pt idx="6">
                  <c:v>38.6</c:v>
                </c:pt>
                <c:pt idx="7">
                  <c:v>64.37</c:v>
                </c:pt>
                <c:pt idx="8">
                  <c:v>78.06</c:v>
                </c:pt>
                <c:pt idx="9">
                  <c:v>21.8</c:v>
                </c:pt>
                <c:pt idx="10">
                  <c:v>13.87</c:v>
                </c:pt>
                <c:pt idx="11">
                  <c:v>66.34</c:v>
                </c:pt>
                <c:pt idx="12">
                  <c:v>0.28999999999999998</c:v>
                </c:pt>
                <c:pt idx="13">
                  <c:v>17.920000000000002</c:v>
                </c:pt>
                <c:pt idx="14">
                  <c:v>3</c:v>
                </c:pt>
                <c:pt idx="15">
                  <c:v>16.77</c:v>
                </c:pt>
                <c:pt idx="16">
                  <c:v>18.21</c:v>
                </c:pt>
                <c:pt idx="17">
                  <c:v>38.83</c:v>
                </c:pt>
                <c:pt idx="18">
                  <c:v>40.29</c:v>
                </c:pt>
                <c:pt idx="19">
                  <c:v>87.44</c:v>
                </c:pt>
                <c:pt idx="20">
                  <c:v>51.06</c:v>
                </c:pt>
                <c:pt idx="21">
                  <c:v>72.37</c:v>
                </c:pt>
                <c:pt idx="22">
                  <c:v>10.5</c:v>
                </c:pt>
                <c:pt idx="23">
                  <c:v>22.62</c:v>
                </c:pt>
                <c:pt idx="24">
                  <c:v>70.319999999999993</c:v>
                </c:pt>
                <c:pt idx="25">
                  <c:v>5.38</c:v>
                </c:pt>
                <c:pt idx="26">
                  <c:v>48.71</c:v>
                </c:pt>
                <c:pt idx="27">
                  <c:v>59.98</c:v>
                </c:pt>
                <c:pt idx="28">
                  <c:v>60.25</c:v>
                </c:pt>
                <c:pt idx="29">
                  <c:v>2.39</c:v>
                </c:pt>
                <c:pt idx="30">
                  <c:v>32.28</c:v>
                </c:pt>
                <c:pt idx="31">
                  <c:v>63.69</c:v>
                </c:pt>
                <c:pt idx="32">
                  <c:v>14.99</c:v>
                </c:pt>
                <c:pt idx="33">
                  <c:v>69.569999999999993</c:v>
                </c:pt>
                <c:pt idx="34">
                  <c:v>74.62</c:v>
                </c:pt>
                <c:pt idx="35">
                  <c:v>98.2</c:v>
                </c:pt>
                <c:pt idx="36">
                  <c:v>21.06</c:v>
                </c:pt>
                <c:pt idx="37">
                  <c:v>82.53</c:v>
                </c:pt>
                <c:pt idx="38">
                  <c:v>52.08</c:v>
                </c:pt>
                <c:pt idx="39">
                  <c:v>37.409999999999997</c:v>
                </c:pt>
                <c:pt idx="40">
                  <c:v>12.33</c:v>
                </c:pt>
                <c:pt idx="41">
                  <c:v>73.58</c:v>
                </c:pt>
                <c:pt idx="42">
                  <c:v>23.66</c:v>
                </c:pt>
                <c:pt idx="43">
                  <c:v>37.21</c:v>
                </c:pt>
                <c:pt idx="44">
                  <c:v>6.35</c:v>
                </c:pt>
                <c:pt idx="45">
                  <c:v>80.16</c:v>
                </c:pt>
                <c:pt idx="46">
                  <c:v>76.680000000000007</c:v>
                </c:pt>
                <c:pt idx="47">
                  <c:v>73.39</c:v>
                </c:pt>
                <c:pt idx="48">
                  <c:v>30.01</c:v>
                </c:pt>
                <c:pt idx="49">
                  <c:v>17.43</c:v>
                </c:pt>
                <c:pt idx="50">
                  <c:v>63.79</c:v>
                </c:pt>
                <c:pt idx="51">
                  <c:v>49.67</c:v>
                </c:pt>
                <c:pt idx="52">
                  <c:v>17.91</c:v>
                </c:pt>
                <c:pt idx="53">
                  <c:v>68.62</c:v>
                </c:pt>
                <c:pt idx="54">
                  <c:v>99.11</c:v>
                </c:pt>
                <c:pt idx="55">
                  <c:v>74.75</c:v>
                </c:pt>
                <c:pt idx="56">
                  <c:v>74.02</c:v>
                </c:pt>
                <c:pt idx="57">
                  <c:v>95.04</c:v>
                </c:pt>
                <c:pt idx="58">
                  <c:v>20.37</c:v>
                </c:pt>
                <c:pt idx="59">
                  <c:v>56.6</c:v>
                </c:pt>
                <c:pt idx="60">
                  <c:v>97.97</c:v>
                </c:pt>
                <c:pt idx="61">
                  <c:v>16.61</c:v>
                </c:pt>
                <c:pt idx="62">
                  <c:v>70.06</c:v>
                </c:pt>
                <c:pt idx="63">
                  <c:v>58.62</c:v>
                </c:pt>
                <c:pt idx="64">
                  <c:v>58.69</c:v>
                </c:pt>
                <c:pt idx="65">
                  <c:v>69.8</c:v>
                </c:pt>
                <c:pt idx="66">
                  <c:v>92.97</c:v>
                </c:pt>
                <c:pt idx="67">
                  <c:v>78.28</c:v>
                </c:pt>
                <c:pt idx="68">
                  <c:v>5.71</c:v>
                </c:pt>
                <c:pt idx="69">
                  <c:v>85.29</c:v>
                </c:pt>
                <c:pt idx="70">
                  <c:v>22.63</c:v>
                </c:pt>
                <c:pt idx="71">
                  <c:v>37.75</c:v>
                </c:pt>
                <c:pt idx="72">
                  <c:v>46.23</c:v>
                </c:pt>
                <c:pt idx="73">
                  <c:v>48.14</c:v>
                </c:pt>
                <c:pt idx="74">
                  <c:v>43.57</c:v>
                </c:pt>
                <c:pt idx="75">
                  <c:v>93.74</c:v>
                </c:pt>
                <c:pt idx="76">
                  <c:v>70.63</c:v>
                </c:pt>
                <c:pt idx="77">
                  <c:v>63.15</c:v>
                </c:pt>
                <c:pt idx="78">
                  <c:v>5.08</c:v>
                </c:pt>
                <c:pt idx="79">
                  <c:v>90.4</c:v>
                </c:pt>
                <c:pt idx="80">
                  <c:v>90.95</c:v>
                </c:pt>
                <c:pt idx="81">
                  <c:v>78.040000000000006</c:v>
                </c:pt>
                <c:pt idx="82">
                  <c:v>0.8</c:v>
                </c:pt>
                <c:pt idx="83">
                  <c:v>5.82</c:v>
                </c:pt>
                <c:pt idx="84">
                  <c:v>22.6</c:v>
                </c:pt>
                <c:pt idx="85">
                  <c:v>13.22</c:v>
                </c:pt>
                <c:pt idx="86">
                  <c:v>39.94</c:v>
                </c:pt>
                <c:pt idx="87">
                  <c:v>92.27</c:v>
                </c:pt>
                <c:pt idx="88">
                  <c:v>47.26</c:v>
                </c:pt>
                <c:pt idx="89">
                  <c:v>1.44</c:v>
                </c:pt>
                <c:pt idx="90">
                  <c:v>28.35</c:v>
                </c:pt>
                <c:pt idx="91">
                  <c:v>4.5599999999999996</c:v>
                </c:pt>
                <c:pt idx="92">
                  <c:v>3.73</c:v>
                </c:pt>
                <c:pt idx="93">
                  <c:v>27.64</c:v>
                </c:pt>
                <c:pt idx="94">
                  <c:v>27.63</c:v>
                </c:pt>
                <c:pt idx="95">
                  <c:v>78.73</c:v>
                </c:pt>
                <c:pt idx="96">
                  <c:v>97.49</c:v>
                </c:pt>
                <c:pt idx="97">
                  <c:v>37.18</c:v>
                </c:pt>
                <c:pt idx="98">
                  <c:v>42.95</c:v>
                </c:pt>
                <c:pt idx="99">
                  <c:v>84.49</c:v>
                </c:pt>
                <c:pt idx="100">
                  <c:v>26.89</c:v>
                </c:pt>
                <c:pt idx="101">
                  <c:v>15.72</c:v>
                </c:pt>
                <c:pt idx="102">
                  <c:v>85.32</c:v>
                </c:pt>
                <c:pt idx="103">
                  <c:v>4.75</c:v>
                </c:pt>
                <c:pt idx="104">
                  <c:v>62.01</c:v>
                </c:pt>
                <c:pt idx="105">
                  <c:v>56.24</c:v>
                </c:pt>
                <c:pt idx="106">
                  <c:v>34.659999999999997</c:v>
                </c:pt>
                <c:pt idx="107">
                  <c:v>31.59</c:v>
                </c:pt>
                <c:pt idx="108">
                  <c:v>77.209999999999994</c:v>
                </c:pt>
                <c:pt idx="109">
                  <c:v>8.73</c:v>
                </c:pt>
                <c:pt idx="110">
                  <c:v>23.75</c:v>
                </c:pt>
                <c:pt idx="111">
                  <c:v>73.27</c:v>
                </c:pt>
                <c:pt idx="112">
                  <c:v>54.88</c:v>
                </c:pt>
                <c:pt idx="113">
                  <c:v>12.89</c:v>
                </c:pt>
                <c:pt idx="114">
                  <c:v>88.23</c:v>
                </c:pt>
                <c:pt idx="115">
                  <c:v>39.409999999999997</c:v>
                </c:pt>
                <c:pt idx="116">
                  <c:v>82.8</c:v>
                </c:pt>
                <c:pt idx="117">
                  <c:v>78.790000000000006</c:v>
                </c:pt>
                <c:pt idx="118">
                  <c:v>62.48</c:v>
                </c:pt>
                <c:pt idx="119">
                  <c:v>49.5</c:v>
                </c:pt>
                <c:pt idx="120">
                  <c:v>97.96</c:v>
                </c:pt>
                <c:pt idx="121">
                  <c:v>14.58</c:v>
                </c:pt>
                <c:pt idx="122">
                  <c:v>72.540000000000006</c:v>
                </c:pt>
                <c:pt idx="123">
                  <c:v>19.2</c:v>
                </c:pt>
                <c:pt idx="124">
                  <c:v>33.89</c:v>
                </c:pt>
                <c:pt idx="125">
                  <c:v>30.94</c:v>
                </c:pt>
                <c:pt idx="126">
                  <c:v>94.71</c:v>
                </c:pt>
                <c:pt idx="127">
                  <c:v>96.74</c:v>
                </c:pt>
                <c:pt idx="128">
                  <c:v>18.38</c:v>
                </c:pt>
                <c:pt idx="129">
                  <c:v>2.2999999999999998</c:v>
                </c:pt>
                <c:pt idx="130">
                  <c:v>72.03</c:v>
                </c:pt>
                <c:pt idx="131">
                  <c:v>41.86</c:v>
                </c:pt>
                <c:pt idx="132">
                  <c:v>8.98</c:v>
                </c:pt>
                <c:pt idx="133">
                  <c:v>68.41</c:v>
                </c:pt>
                <c:pt idx="134">
                  <c:v>54.56</c:v>
                </c:pt>
                <c:pt idx="135">
                  <c:v>98.05</c:v>
                </c:pt>
                <c:pt idx="136">
                  <c:v>22.82</c:v>
                </c:pt>
                <c:pt idx="137">
                  <c:v>40.46</c:v>
                </c:pt>
                <c:pt idx="138">
                  <c:v>54.3</c:v>
                </c:pt>
                <c:pt idx="139">
                  <c:v>79.19</c:v>
                </c:pt>
                <c:pt idx="140">
                  <c:v>54.93</c:v>
                </c:pt>
                <c:pt idx="141">
                  <c:v>61.33</c:v>
                </c:pt>
                <c:pt idx="142">
                  <c:v>22.69</c:v>
                </c:pt>
                <c:pt idx="143">
                  <c:v>84.71</c:v>
                </c:pt>
                <c:pt idx="144">
                  <c:v>42.92</c:v>
                </c:pt>
                <c:pt idx="145">
                  <c:v>14.18</c:v>
                </c:pt>
                <c:pt idx="146">
                  <c:v>66.45</c:v>
                </c:pt>
                <c:pt idx="147">
                  <c:v>21.69</c:v>
                </c:pt>
                <c:pt idx="148">
                  <c:v>9.85</c:v>
                </c:pt>
                <c:pt idx="149">
                  <c:v>86.21</c:v>
                </c:pt>
                <c:pt idx="150">
                  <c:v>46.07</c:v>
                </c:pt>
                <c:pt idx="151">
                  <c:v>74.95</c:v>
                </c:pt>
                <c:pt idx="152">
                  <c:v>29.13</c:v>
                </c:pt>
                <c:pt idx="153">
                  <c:v>78.72</c:v>
                </c:pt>
                <c:pt idx="154">
                  <c:v>11.28</c:v>
                </c:pt>
                <c:pt idx="155">
                  <c:v>35.659999999999997</c:v>
                </c:pt>
                <c:pt idx="156">
                  <c:v>97.81</c:v>
                </c:pt>
                <c:pt idx="157">
                  <c:v>79.42</c:v>
                </c:pt>
                <c:pt idx="158">
                  <c:v>49.78</c:v>
                </c:pt>
                <c:pt idx="159">
                  <c:v>34.04</c:v>
                </c:pt>
                <c:pt idx="160">
                  <c:v>87.23</c:v>
                </c:pt>
                <c:pt idx="161">
                  <c:v>54.53</c:v>
                </c:pt>
                <c:pt idx="162">
                  <c:v>75.87</c:v>
                </c:pt>
                <c:pt idx="163">
                  <c:v>75.44</c:v>
                </c:pt>
                <c:pt idx="164">
                  <c:v>1.89</c:v>
                </c:pt>
                <c:pt idx="165">
                  <c:v>12.71</c:v>
                </c:pt>
                <c:pt idx="166">
                  <c:v>66</c:v>
                </c:pt>
                <c:pt idx="167">
                  <c:v>16.25</c:v>
                </c:pt>
                <c:pt idx="168">
                  <c:v>25.62</c:v>
                </c:pt>
                <c:pt idx="169">
                  <c:v>94.67</c:v>
                </c:pt>
                <c:pt idx="170">
                  <c:v>56.06</c:v>
                </c:pt>
                <c:pt idx="171">
                  <c:v>75.099999999999994</c:v>
                </c:pt>
                <c:pt idx="172">
                  <c:v>55.84</c:v>
                </c:pt>
                <c:pt idx="173">
                  <c:v>55.3</c:v>
                </c:pt>
                <c:pt idx="174">
                  <c:v>9.51</c:v>
                </c:pt>
                <c:pt idx="175">
                  <c:v>34.43</c:v>
                </c:pt>
                <c:pt idx="176">
                  <c:v>28.31</c:v>
                </c:pt>
                <c:pt idx="177">
                  <c:v>39.130000000000003</c:v>
                </c:pt>
                <c:pt idx="178">
                  <c:v>79.849999999999994</c:v>
                </c:pt>
                <c:pt idx="179">
                  <c:v>37.26</c:v>
                </c:pt>
                <c:pt idx="180">
                  <c:v>45.22</c:v>
                </c:pt>
                <c:pt idx="181">
                  <c:v>39.799999999999997</c:v>
                </c:pt>
                <c:pt idx="182">
                  <c:v>9.43</c:v>
                </c:pt>
                <c:pt idx="183">
                  <c:v>44.16</c:v>
                </c:pt>
                <c:pt idx="184">
                  <c:v>19.64</c:v>
                </c:pt>
                <c:pt idx="185">
                  <c:v>18.75</c:v>
                </c:pt>
                <c:pt idx="186">
                  <c:v>9.49</c:v>
                </c:pt>
                <c:pt idx="187">
                  <c:v>35.729999999999997</c:v>
                </c:pt>
                <c:pt idx="188">
                  <c:v>75.77</c:v>
                </c:pt>
                <c:pt idx="189">
                  <c:v>27.72</c:v>
                </c:pt>
                <c:pt idx="190">
                  <c:v>31.3</c:v>
                </c:pt>
                <c:pt idx="191">
                  <c:v>64.3</c:v>
                </c:pt>
                <c:pt idx="192">
                  <c:v>19.66</c:v>
                </c:pt>
                <c:pt idx="193">
                  <c:v>89.71</c:v>
                </c:pt>
                <c:pt idx="194">
                  <c:v>52.07</c:v>
                </c:pt>
                <c:pt idx="195">
                  <c:v>44.82</c:v>
                </c:pt>
                <c:pt idx="196">
                  <c:v>55.83</c:v>
                </c:pt>
                <c:pt idx="197">
                  <c:v>16.690000000000001</c:v>
                </c:pt>
                <c:pt idx="198">
                  <c:v>61.39</c:v>
                </c:pt>
                <c:pt idx="199">
                  <c:v>36.369999999999997</c:v>
                </c:pt>
                <c:pt idx="200">
                  <c:v>89.73</c:v>
                </c:pt>
                <c:pt idx="201">
                  <c:v>16.97</c:v>
                </c:pt>
                <c:pt idx="202">
                  <c:v>50.75</c:v>
                </c:pt>
                <c:pt idx="203">
                  <c:v>59.85</c:v>
                </c:pt>
                <c:pt idx="204">
                  <c:v>3.44</c:v>
                </c:pt>
                <c:pt idx="205">
                  <c:v>36.43</c:v>
                </c:pt>
                <c:pt idx="206">
                  <c:v>73.290000000000006</c:v>
                </c:pt>
                <c:pt idx="207">
                  <c:v>82.06</c:v>
                </c:pt>
                <c:pt idx="208">
                  <c:v>31.38</c:v>
                </c:pt>
                <c:pt idx="209">
                  <c:v>79.88</c:v>
                </c:pt>
                <c:pt idx="210">
                  <c:v>96.78</c:v>
                </c:pt>
                <c:pt idx="211">
                  <c:v>85.7</c:v>
                </c:pt>
                <c:pt idx="212">
                  <c:v>11.85</c:v>
                </c:pt>
                <c:pt idx="213">
                  <c:v>74</c:v>
                </c:pt>
                <c:pt idx="214">
                  <c:v>32.03</c:v>
                </c:pt>
                <c:pt idx="215">
                  <c:v>98.84</c:v>
                </c:pt>
                <c:pt idx="216">
                  <c:v>48.59</c:v>
                </c:pt>
                <c:pt idx="217">
                  <c:v>12.33</c:v>
                </c:pt>
                <c:pt idx="218">
                  <c:v>72.55</c:v>
                </c:pt>
                <c:pt idx="219">
                  <c:v>32.369999999999997</c:v>
                </c:pt>
                <c:pt idx="220">
                  <c:v>99.71</c:v>
                </c:pt>
                <c:pt idx="221">
                  <c:v>97.98</c:v>
                </c:pt>
                <c:pt idx="222">
                  <c:v>65.650000000000006</c:v>
                </c:pt>
                <c:pt idx="223">
                  <c:v>13.07</c:v>
                </c:pt>
                <c:pt idx="224">
                  <c:v>68.72</c:v>
                </c:pt>
                <c:pt idx="225">
                  <c:v>9.39</c:v>
                </c:pt>
                <c:pt idx="226">
                  <c:v>3.03</c:v>
                </c:pt>
                <c:pt idx="227">
                  <c:v>82.31</c:v>
                </c:pt>
                <c:pt idx="228">
                  <c:v>21.05</c:v>
                </c:pt>
                <c:pt idx="229">
                  <c:v>37.96</c:v>
                </c:pt>
                <c:pt idx="230">
                  <c:v>97.35</c:v>
                </c:pt>
                <c:pt idx="231">
                  <c:v>33.75</c:v>
                </c:pt>
                <c:pt idx="232">
                  <c:v>29.72</c:v>
                </c:pt>
                <c:pt idx="233">
                  <c:v>91.83</c:v>
                </c:pt>
                <c:pt idx="234">
                  <c:v>11.16</c:v>
                </c:pt>
                <c:pt idx="235">
                  <c:v>75.98</c:v>
                </c:pt>
                <c:pt idx="236">
                  <c:v>98.81</c:v>
                </c:pt>
                <c:pt idx="237">
                  <c:v>90.14</c:v>
                </c:pt>
                <c:pt idx="238">
                  <c:v>65.2</c:v>
                </c:pt>
                <c:pt idx="239">
                  <c:v>31.47</c:v>
                </c:pt>
                <c:pt idx="240">
                  <c:v>25.51</c:v>
                </c:pt>
                <c:pt idx="241">
                  <c:v>81.94</c:v>
                </c:pt>
                <c:pt idx="242">
                  <c:v>87.99</c:v>
                </c:pt>
                <c:pt idx="243">
                  <c:v>52.59</c:v>
                </c:pt>
                <c:pt idx="244">
                  <c:v>24.51</c:v>
                </c:pt>
                <c:pt idx="245">
                  <c:v>11.38</c:v>
                </c:pt>
                <c:pt idx="246">
                  <c:v>8.81</c:v>
                </c:pt>
                <c:pt idx="247">
                  <c:v>71.94</c:v>
                </c:pt>
                <c:pt idx="248">
                  <c:v>42.07</c:v>
                </c:pt>
                <c:pt idx="249">
                  <c:v>90.55</c:v>
                </c:pt>
                <c:pt idx="250">
                  <c:v>73.989999999999995</c:v>
                </c:pt>
                <c:pt idx="251">
                  <c:v>19.21</c:v>
                </c:pt>
                <c:pt idx="252">
                  <c:v>61.42</c:v>
                </c:pt>
                <c:pt idx="253">
                  <c:v>43.61</c:v>
                </c:pt>
                <c:pt idx="254">
                  <c:v>57.77</c:v>
                </c:pt>
                <c:pt idx="255">
                  <c:v>73.83</c:v>
                </c:pt>
                <c:pt idx="256">
                  <c:v>80.64</c:v>
                </c:pt>
                <c:pt idx="257">
                  <c:v>84.39</c:v>
                </c:pt>
                <c:pt idx="258">
                  <c:v>25.47</c:v>
                </c:pt>
                <c:pt idx="259">
                  <c:v>3.21</c:v>
                </c:pt>
                <c:pt idx="260">
                  <c:v>73.959999999999994</c:v>
                </c:pt>
                <c:pt idx="261">
                  <c:v>10.72</c:v>
                </c:pt>
                <c:pt idx="262">
                  <c:v>31.56</c:v>
                </c:pt>
                <c:pt idx="263">
                  <c:v>0.48</c:v>
                </c:pt>
                <c:pt idx="264">
                  <c:v>68.2</c:v>
                </c:pt>
                <c:pt idx="265">
                  <c:v>16.8</c:v>
                </c:pt>
                <c:pt idx="266">
                  <c:v>65.56</c:v>
                </c:pt>
                <c:pt idx="267">
                  <c:v>99.18</c:v>
                </c:pt>
                <c:pt idx="268">
                  <c:v>7.36</c:v>
                </c:pt>
                <c:pt idx="269">
                  <c:v>7.8</c:v>
                </c:pt>
                <c:pt idx="270">
                  <c:v>34.1</c:v>
                </c:pt>
                <c:pt idx="271">
                  <c:v>86.65</c:v>
                </c:pt>
                <c:pt idx="272">
                  <c:v>21.63</c:v>
                </c:pt>
                <c:pt idx="273">
                  <c:v>36.1</c:v>
                </c:pt>
                <c:pt idx="274">
                  <c:v>6.94</c:v>
                </c:pt>
                <c:pt idx="275">
                  <c:v>76.34</c:v>
                </c:pt>
                <c:pt idx="276">
                  <c:v>40.89</c:v>
                </c:pt>
                <c:pt idx="277">
                  <c:v>75.95</c:v>
                </c:pt>
                <c:pt idx="278">
                  <c:v>90.37</c:v>
                </c:pt>
                <c:pt idx="279">
                  <c:v>23.35</c:v>
                </c:pt>
                <c:pt idx="280">
                  <c:v>80.760000000000005</c:v>
                </c:pt>
                <c:pt idx="281">
                  <c:v>6</c:v>
                </c:pt>
                <c:pt idx="282">
                  <c:v>89.89</c:v>
                </c:pt>
                <c:pt idx="283">
                  <c:v>65.11</c:v>
                </c:pt>
                <c:pt idx="284">
                  <c:v>87.44</c:v>
                </c:pt>
                <c:pt idx="285">
                  <c:v>0.12</c:v>
                </c:pt>
                <c:pt idx="286">
                  <c:v>16.989999999999998</c:v>
                </c:pt>
                <c:pt idx="287">
                  <c:v>39.04</c:v>
                </c:pt>
                <c:pt idx="288">
                  <c:v>38.01</c:v>
                </c:pt>
                <c:pt idx="289">
                  <c:v>22.75</c:v>
                </c:pt>
                <c:pt idx="290">
                  <c:v>38.22</c:v>
                </c:pt>
                <c:pt idx="291">
                  <c:v>12.97</c:v>
                </c:pt>
                <c:pt idx="292">
                  <c:v>41.33</c:v>
                </c:pt>
                <c:pt idx="293">
                  <c:v>80.260000000000005</c:v>
                </c:pt>
                <c:pt idx="294">
                  <c:v>47.96</c:v>
                </c:pt>
                <c:pt idx="295">
                  <c:v>1.9</c:v>
                </c:pt>
                <c:pt idx="296">
                  <c:v>42.2</c:v>
                </c:pt>
                <c:pt idx="297">
                  <c:v>2.81</c:v>
                </c:pt>
                <c:pt idx="298">
                  <c:v>96.63</c:v>
                </c:pt>
                <c:pt idx="299">
                  <c:v>12.83</c:v>
                </c:pt>
                <c:pt idx="300">
                  <c:v>70.8</c:v>
                </c:pt>
                <c:pt idx="301">
                  <c:v>97.28</c:v>
                </c:pt>
                <c:pt idx="302">
                  <c:v>82.62</c:v>
                </c:pt>
                <c:pt idx="303">
                  <c:v>69.959999999999994</c:v>
                </c:pt>
                <c:pt idx="304">
                  <c:v>83.96</c:v>
                </c:pt>
                <c:pt idx="305">
                  <c:v>98.18</c:v>
                </c:pt>
                <c:pt idx="306">
                  <c:v>62.17</c:v>
                </c:pt>
                <c:pt idx="307">
                  <c:v>55.96</c:v>
                </c:pt>
                <c:pt idx="308">
                  <c:v>62.86</c:v>
                </c:pt>
                <c:pt idx="309">
                  <c:v>53.31</c:v>
                </c:pt>
                <c:pt idx="310">
                  <c:v>63.55</c:v>
                </c:pt>
                <c:pt idx="311">
                  <c:v>45.04</c:v>
                </c:pt>
                <c:pt idx="312">
                  <c:v>21.92</c:v>
                </c:pt>
                <c:pt idx="313">
                  <c:v>12.11</c:v>
                </c:pt>
                <c:pt idx="314">
                  <c:v>6.93</c:v>
                </c:pt>
                <c:pt idx="315">
                  <c:v>26.41</c:v>
                </c:pt>
                <c:pt idx="316">
                  <c:v>4.71</c:v>
                </c:pt>
                <c:pt idx="317">
                  <c:v>56.76</c:v>
                </c:pt>
                <c:pt idx="318">
                  <c:v>28.45</c:v>
                </c:pt>
                <c:pt idx="319">
                  <c:v>82.47</c:v>
                </c:pt>
                <c:pt idx="320">
                  <c:v>7.52</c:v>
                </c:pt>
                <c:pt idx="321">
                  <c:v>22.71</c:v>
                </c:pt>
                <c:pt idx="322">
                  <c:v>73.05</c:v>
                </c:pt>
                <c:pt idx="323">
                  <c:v>59.92</c:v>
                </c:pt>
                <c:pt idx="324">
                  <c:v>6.54</c:v>
                </c:pt>
                <c:pt idx="325">
                  <c:v>87.74</c:v>
                </c:pt>
                <c:pt idx="326">
                  <c:v>87.74</c:v>
                </c:pt>
                <c:pt idx="327">
                  <c:v>33.11</c:v>
                </c:pt>
                <c:pt idx="328">
                  <c:v>34.11</c:v>
                </c:pt>
                <c:pt idx="329">
                  <c:v>98.9</c:v>
                </c:pt>
                <c:pt idx="330">
                  <c:v>62.65</c:v>
                </c:pt>
                <c:pt idx="331">
                  <c:v>53.18</c:v>
                </c:pt>
                <c:pt idx="332">
                  <c:v>83.83</c:v>
                </c:pt>
                <c:pt idx="333">
                  <c:v>28.6</c:v>
                </c:pt>
                <c:pt idx="334">
                  <c:v>42.98</c:v>
                </c:pt>
                <c:pt idx="335">
                  <c:v>26.85</c:v>
                </c:pt>
                <c:pt idx="336">
                  <c:v>78.94</c:v>
                </c:pt>
                <c:pt idx="337">
                  <c:v>57.38</c:v>
                </c:pt>
                <c:pt idx="338">
                  <c:v>65.92</c:v>
                </c:pt>
                <c:pt idx="339">
                  <c:v>25.31</c:v>
                </c:pt>
                <c:pt idx="340">
                  <c:v>22.1</c:v>
                </c:pt>
                <c:pt idx="341">
                  <c:v>48.89</c:v>
                </c:pt>
                <c:pt idx="342">
                  <c:v>73.78</c:v>
                </c:pt>
                <c:pt idx="343">
                  <c:v>52.57</c:v>
                </c:pt>
                <c:pt idx="344">
                  <c:v>3.36</c:v>
                </c:pt>
                <c:pt idx="345">
                  <c:v>86.87</c:v>
                </c:pt>
                <c:pt idx="346">
                  <c:v>6.56</c:v>
                </c:pt>
                <c:pt idx="347">
                  <c:v>95.59</c:v>
                </c:pt>
                <c:pt idx="348">
                  <c:v>2.61</c:v>
                </c:pt>
                <c:pt idx="349">
                  <c:v>69.48</c:v>
                </c:pt>
                <c:pt idx="350">
                  <c:v>8.31</c:v>
                </c:pt>
                <c:pt idx="351">
                  <c:v>91.08</c:v>
                </c:pt>
                <c:pt idx="352">
                  <c:v>46.5</c:v>
                </c:pt>
                <c:pt idx="353">
                  <c:v>13.84</c:v>
                </c:pt>
                <c:pt idx="354">
                  <c:v>34.15</c:v>
                </c:pt>
                <c:pt idx="355">
                  <c:v>16.57</c:v>
                </c:pt>
                <c:pt idx="356">
                  <c:v>17.14</c:v>
                </c:pt>
                <c:pt idx="357">
                  <c:v>94.82</c:v>
                </c:pt>
                <c:pt idx="358">
                  <c:v>44.58</c:v>
                </c:pt>
                <c:pt idx="359">
                  <c:v>78.900000000000006</c:v>
                </c:pt>
                <c:pt idx="360">
                  <c:v>64</c:v>
                </c:pt>
                <c:pt idx="361">
                  <c:v>67.67</c:v>
                </c:pt>
                <c:pt idx="362">
                  <c:v>13.26</c:v>
                </c:pt>
                <c:pt idx="363">
                  <c:v>23.5</c:v>
                </c:pt>
                <c:pt idx="364">
                  <c:v>78.7</c:v>
                </c:pt>
                <c:pt idx="365">
                  <c:v>97.08</c:v>
                </c:pt>
                <c:pt idx="366">
                  <c:v>26.34</c:v>
                </c:pt>
                <c:pt idx="367">
                  <c:v>27.23</c:v>
                </c:pt>
                <c:pt idx="368">
                  <c:v>47.34</c:v>
                </c:pt>
                <c:pt idx="369">
                  <c:v>98.39</c:v>
                </c:pt>
                <c:pt idx="370">
                  <c:v>26.97</c:v>
                </c:pt>
                <c:pt idx="371">
                  <c:v>40.76</c:v>
                </c:pt>
                <c:pt idx="372">
                  <c:v>89.16</c:v>
                </c:pt>
                <c:pt idx="373">
                  <c:v>0.39</c:v>
                </c:pt>
                <c:pt idx="374">
                  <c:v>4.07</c:v>
                </c:pt>
                <c:pt idx="375">
                  <c:v>60.45</c:v>
                </c:pt>
                <c:pt idx="376">
                  <c:v>90.75</c:v>
                </c:pt>
                <c:pt idx="377">
                  <c:v>23.96</c:v>
                </c:pt>
                <c:pt idx="378">
                  <c:v>47.02</c:v>
                </c:pt>
                <c:pt idx="379">
                  <c:v>45.1</c:v>
                </c:pt>
                <c:pt idx="380">
                  <c:v>47.35</c:v>
                </c:pt>
                <c:pt idx="381">
                  <c:v>62.29</c:v>
                </c:pt>
                <c:pt idx="382">
                  <c:v>47.03</c:v>
                </c:pt>
                <c:pt idx="383">
                  <c:v>44.8</c:v>
                </c:pt>
                <c:pt idx="384">
                  <c:v>47.48</c:v>
                </c:pt>
                <c:pt idx="385">
                  <c:v>59.13</c:v>
                </c:pt>
                <c:pt idx="386">
                  <c:v>53.75</c:v>
                </c:pt>
                <c:pt idx="387">
                  <c:v>85.43</c:v>
                </c:pt>
                <c:pt idx="388">
                  <c:v>5.04</c:v>
                </c:pt>
                <c:pt idx="389">
                  <c:v>83.35</c:v>
                </c:pt>
                <c:pt idx="390">
                  <c:v>84.41</c:v>
                </c:pt>
                <c:pt idx="391">
                  <c:v>28.56</c:v>
                </c:pt>
                <c:pt idx="392">
                  <c:v>46.34</c:v>
                </c:pt>
                <c:pt idx="393">
                  <c:v>43.91</c:v>
                </c:pt>
                <c:pt idx="394">
                  <c:v>21.93</c:v>
                </c:pt>
                <c:pt idx="395">
                  <c:v>39.74</c:v>
                </c:pt>
                <c:pt idx="396">
                  <c:v>4.53</c:v>
                </c:pt>
                <c:pt idx="397">
                  <c:v>27.85</c:v>
                </c:pt>
                <c:pt idx="398">
                  <c:v>81.69</c:v>
                </c:pt>
                <c:pt idx="399">
                  <c:v>28.53</c:v>
                </c:pt>
                <c:pt idx="400">
                  <c:v>81.84</c:v>
                </c:pt>
                <c:pt idx="401">
                  <c:v>53.21</c:v>
                </c:pt>
                <c:pt idx="402">
                  <c:v>88</c:v>
                </c:pt>
                <c:pt idx="403">
                  <c:v>57.52</c:v>
                </c:pt>
                <c:pt idx="404">
                  <c:v>3.06</c:v>
                </c:pt>
                <c:pt idx="405">
                  <c:v>67.569999999999993</c:v>
                </c:pt>
                <c:pt idx="406">
                  <c:v>4.58</c:v>
                </c:pt>
                <c:pt idx="407">
                  <c:v>45.11</c:v>
                </c:pt>
                <c:pt idx="408">
                  <c:v>92.95</c:v>
                </c:pt>
                <c:pt idx="409">
                  <c:v>16.600000000000001</c:v>
                </c:pt>
                <c:pt idx="410">
                  <c:v>39.049999999999997</c:v>
                </c:pt>
                <c:pt idx="411">
                  <c:v>73.010000000000005</c:v>
                </c:pt>
                <c:pt idx="412">
                  <c:v>88.24</c:v>
                </c:pt>
                <c:pt idx="413">
                  <c:v>67.13</c:v>
                </c:pt>
                <c:pt idx="414">
                  <c:v>25.89</c:v>
                </c:pt>
                <c:pt idx="415">
                  <c:v>67.489999999999995</c:v>
                </c:pt>
                <c:pt idx="416">
                  <c:v>29.74</c:v>
                </c:pt>
                <c:pt idx="417">
                  <c:v>71.87</c:v>
                </c:pt>
                <c:pt idx="418">
                  <c:v>95.41</c:v>
                </c:pt>
                <c:pt idx="419">
                  <c:v>72.17</c:v>
                </c:pt>
                <c:pt idx="420">
                  <c:v>86.3</c:v>
                </c:pt>
                <c:pt idx="421">
                  <c:v>0.31</c:v>
                </c:pt>
                <c:pt idx="422">
                  <c:v>71.790000000000006</c:v>
                </c:pt>
                <c:pt idx="423">
                  <c:v>82.98</c:v>
                </c:pt>
                <c:pt idx="424">
                  <c:v>4.1500000000000004</c:v>
                </c:pt>
                <c:pt idx="425">
                  <c:v>87.17</c:v>
                </c:pt>
                <c:pt idx="426">
                  <c:v>25.74</c:v>
                </c:pt>
                <c:pt idx="427">
                  <c:v>66.56</c:v>
                </c:pt>
                <c:pt idx="428">
                  <c:v>80.06</c:v>
                </c:pt>
                <c:pt idx="429">
                  <c:v>66.3</c:v>
                </c:pt>
                <c:pt idx="430">
                  <c:v>9.32</c:v>
                </c:pt>
                <c:pt idx="431">
                  <c:v>59.67</c:v>
                </c:pt>
                <c:pt idx="432">
                  <c:v>55</c:v>
                </c:pt>
                <c:pt idx="433">
                  <c:v>90.04</c:v>
                </c:pt>
                <c:pt idx="434">
                  <c:v>40.479999999999997</c:v>
                </c:pt>
                <c:pt idx="435">
                  <c:v>32.18</c:v>
                </c:pt>
                <c:pt idx="436">
                  <c:v>75.010000000000005</c:v>
                </c:pt>
                <c:pt idx="437">
                  <c:v>41.33</c:v>
                </c:pt>
                <c:pt idx="438">
                  <c:v>64.650000000000006</c:v>
                </c:pt>
                <c:pt idx="439">
                  <c:v>64.680000000000007</c:v>
                </c:pt>
                <c:pt idx="440">
                  <c:v>88.82</c:v>
                </c:pt>
                <c:pt idx="441">
                  <c:v>59.91</c:v>
                </c:pt>
                <c:pt idx="442">
                  <c:v>50.27</c:v>
                </c:pt>
                <c:pt idx="443">
                  <c:v>13.97</c:v>
                </c:pt>
                <c:pt idx="444">
                  <c:v>11.66</c:v>
                </c:pt>
                <c:pt idx="445">
                  <c:v>15.52</c:v>
                </c:pt>
                <c:pt idx="446">
                  <c:v>17.27</c:v>
                </c:pt>
                <c:pt idx="447">
                  <c:v>63.82</c:v>
                </c:pt>
                <c:pt idx="448">
                  <c:v>74.12</c:v>
                </c:pt>
                <c:pt idx="449">
                  <c:v>53.05</c:v>
                </c:pt>
                <c:pt idx="450">
                  <c:v>82.92</c:v>
                </c:pt>
                <c:pt idx="451">
                  <c:v>99.13</c:v>
                </c:pt>
                <c:pt idx="452">
                  <c:v>82.02</c:v>
                </c:pt>
                <c:pt idx="453">
                  <c:v>69.52</c:v>
                </c:pt>
                <c:pt idx="454">
                  <c:v>53.3</c:v>
                </c:pt>
                <c:pt idx="455">
                  <c:v>44.94</c:v>
                </c:pt>
                <c:pt idx="456">
                  <c:v>8.5299999999999994</c:v>
                </c:pt>
                <c:pt idx="457">
                  <c:v>40</c:v>
                </c:pt>
                <c:pt idx="458">
                  <c:v>91.02</c:v>
                </c:pt>
                <c:pt idx="459">
                  <c:v>80.819999999999993</c:v>
                </c:pt>
                <c:pt idx="460">
                  <c:v>21.68</c:v>
                </c:pt>
                <c:pt idx="461">
                  <c:v>46.71</c:v>
                </c:pt>
                <c:pt idx="462">
                  <c:v>81.69</c:v>
                </c:pt>
                <c:pt idx="463">
                  <c:v>6.83</c:v>
                </c:pt>
                <c:pt idx="464">
                  <c:v>38.799999999999997</c:v>
                </c:pt>
                <c:pt idx="465">
                  <c:v>85.2</c:v>
                </c:pt>
                <c:pt idx="466">
                  <c:v>40.450000000000003</c:v>
                </c:pt>
                <c:pt idx="467">
                  <c:v>7.85</c:v>
                </c:pt>
                <c:pt idx="468">
                  <c:v>54.3</c:v>
                </c:pt>
                <c:pt idx="469">
                  <c:v>86.19</c:v>
                </c:pt>
                <c:pt idx="470">
                  <c:v>59.07</c:v>
                </c:pt>
                <c:pt idx="471">
                  <c:v>22.71</c:v>
                </c:pt>
                <c:pt idx="472">
                  <c:v>38.49</c:v>
                </c:pt>
                <c:pt idx="473">
                  <c:v>45.07</c:v>
                </c:pt>
                <c:pt idx="474">
                  <c:v>57.97</c:v>
                </c:pt>
                <c:pt idx="475">
                  <c:v>75.959999999999994</c:v>
                </c:pt>
                <c:pt idx="476">
                  <c:v>9.98</c:v>
                </c:pt>
                <c:pt idx="477">
                  <c:v>88.98</c:v>
                </c:pt>
                <c:pt idx="478">
                  <c:v>1.33</c:v>
                </c:pt>
                <c:pt idx="479">
                  <c:v>37.07</c:v>
                </c:pt>
                <c:pt idx="480">
                  <c:v>2.84</c:v>
                </c:pt>
                <c:pt idx="481">
                  <c:v>39.36</c:v>
                </c:pt>
                <c:pt idx="482">
                  <c:v>52.63</c:v>
                </c:pt>
                <c:pt idx="483">
                  <c:v>51.22</c:v>
                </c:pt>
                <c:pt idx="484">
                  <c:v>16.649999999999999</c:v>
                </c:pt>
                <c:pt idx="485">
                  <c:v>64.61</c:v>
                </c:pt>
                <c:pt idx="486">
                  <c:v>4.57</c:v>
                </c:pt>
                <c:pt idx="487">
                  <c:v>76.209999999999994</c:v>
                </c:pt>
                <c:pt idx="488">
                  <c:v>94.67</c:v>
                </c:pt>
                <c:pt idx="489">
                  <c:v>34.04</c:v>
                </c:pt>
                <c:pt idx="490">
                  <c:v>51.77</c:v>
                </c:pt>
                <c:pt idx="491">
                  <c:v>37.950000000000003</c:v>
                </c:pt>
                <c:pt idx="492">
                  <c:v>0.77</c:v>
                </c:pt>
                <c:pt idx="493">
                  <c:v>38.65</c:v>
                </c:pt>
                <c:pt idx="494">
                  <c:v>79.19</c:v>
                </c:pt>
                <c:pt idx="495">
                  <c:v>59.64</c:v>
                </c:pt>
                <c:pt idx="496">
                  <c:v>10.220000000000001</c:v>
                </c:pt>
                <c:pt idx="497">
                  <c:v>84.73</c:v>
                </c:pt>
                <c:pt idx="498">
                  <c:v>53.16</c:v>
                </c:pt>
                <c:pt idx="499">
                  <c:v>84.19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F-4AA3-AFA4-054DBA75F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7935248"/>
        <c:axId val="1117937648"/>
      </c:scatterChart>
      <c:valAx>
        <c:axId val="111793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37648"/>
        <c:crosses val="autoZero"/>
        <c:crossBetween val="midCat"/>
      </c:valAx>
      <c:valAx>
        <c:axId val="11179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[startup_data_practice.xlsx]Startups with best efficiency!PivotTable16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'Startups with best efficiency'!$B$3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'Startups with best efficiency'!$A$4:$A$9</c:f>
              <c:strCache>
                <c:ptCount val="5"/>
                <c:pt idx="0">
                  <c:v>Startup_212</c:v>
                </c:pt>
                <c:pt idx="1">
                  <c:v>Startup_61</c:v>
                </c:pt>
                <c:pt idx="2">
                  <c:v>Startup_443</c:v>
                </c:pt>
                <c:pt idx="3">
                  <c:v>Startup_397</c:v>
                </c:pt>
                <c:pt idx="4">
                  <c:v>Startup_385</c:v>
                </c:pt>
              </c:strCache>
            </c:strRef>
          </c:cat>
          <c:val>
            <c:numRef>
              <c:f>'Startups with best efficiency'!$B$4:$B$9</c:f>
              <c:numCache>
                <c:formatCode>0.00</c:formatCode>
                <c:ptCount val="5"/>
                <c:pt idx="0">
                  <c:v>14.945775075987841</c:v>
                </c:pt>
                <c:pt idx="1">
                  <c:v>14.920030547676195</c:v>
                </c:pt>
                <c:pt idx="2">
                  <c:v>14.908957235632888</c:v>
                </c:pt>
                <c:pt idx="3">
                  <c:v>14.899111111111113</c:v>
                </c:pt>
                <c:pt idx="4">
                  <c:v>14.85930093776641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8-4133-BCC1-0C289DBAD9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17937168"/>
        <c:axId val="1117940528"/>
        <c:axId val="0"/>
      </c:bar3DChart>
      <c:catAx>
        <c:axId val="11179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40528"/>
        <c:crosses val="autoZero"/>
        <c:auto val="1"/>
        <c:lblAlgn val="ctr"/>
        <c:lblOffset val="100"/>
        <c:noMultiLvlLbl val="0"/>
      </c:catAx>
      <c:valAx>
        <c:axId val="11179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9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[startup_data_practice.xlsx]Best valuation per employee!PivotTable17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'Best valuation per employee'!$B$3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'Best valuation per employee'!$A$4:$A$12</c:f>
              <c:strCache>
                <c:ptCount val="8"/>
                <c:pt idx="0">
                  <c:v>E-Commerce</c:v>
                </c:pt>
                <c:pt idx="1">
                  <c:v>Gaming</c:v>
                </c:pt>
                <c:pt idx="2">
                  <c:v>Cybersecurity</c:v>
                </c:pt>
                <c:pt idx="3">
                  <c:v>FinTech</c:v>
                </c:pt>
                <c:pt idx="4">
                  <c:v>EdTech</c:v>
                </c:pt>
                <c:pt idx="5">
                  <c:v>HealthTech</c:v>
                </c:pt>
                <c:pt idx="6">
                  <c:v>AI</c:v>
                </c:pt>
                <c:pt idx="7">
                  <c:v>IoT</c:v>
                </c:pt>
              </c:strCache>
            </c:strRef>
          </c:cat>
          <c:val>
            <c:numRef>
              <c:f>'Best valuation per employee'!$B$4:$B$12</c:f>
              <c:numCache>
                <c:formatCode>0.000</c:formatCode>
                <c:ptCount val="8"/>
                <c:pt idx="0">
                  <c:v>0.71129753402256002</c:v>
                </c:pt>
                <c:pt idx="1">
                  <c:v>0.62607550415750735</c:v>
                </c:pt>
                <c:pt idx="2">
                  <c:v>0.57171241371241377</c:v>
                </c:pt>
                <c:pt idx="3">
                  <c:v>0.51678477266332501</c:v>
                </c:pt>
                <c:pt idx="4">
                  <c:v>0.50873846392071842</c:v>
                </c:pt>
                <c:pt idx="5">
                  <c:v>0.48313158208480711</c:v>
                </c:pt>
                <c:pt idx="6">
                  <c:v>0.47373210268485999</c:v>
                </c:pt>
                <c:pt idx="7">
                  <c:v>0.44401404744187711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3-4138-A21A-6D45C8B5E2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204890432"/>
        <c:axId val="1204887552"/>
      </c:barChart>
      <c:catAx>
        <c:axId val="1204890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87552"/>
        <c:crosses val="autoZero"/>
        <c:auto val="1"/>
        <c:lblAlgn val="ctr"/>
        <c:lblOffset val="100"/>
        <c:noMultiLvlLbl val="0"/>
      </c:catAx>
      <c:valAx>
        <c:axId val="120488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9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0</xdr:row>
      <xdr:rowOff>179070</xdr:rowOff>
    </xdr:from>
    <xdr:to>
      <xdr:col>13</xdr:col>
      <xdr:colOff>38100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40EC31-7B61-23F0-6F4A-E2D1D9E8B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156210</xdr:rowOff>
    </xdr:from>
    <xdr:to>
      <xdr:col>13</xdr:col>
      <xdr:colOff>541020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C22E40-3AAC-AC5E-106E-89AC5A93C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0</xdr:row>
      <xdr:rowOff>171450</xdr:rowOff>
    </xdr:from>
    <xdr:to>
      <xdr:col>14</xdr:col>
      <xdr:colOff>152400</xdr:colOff>
      <xdr:row>26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561193-B73C-67C9-B9D1-25A3B81F4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156210</xdr:rowOff>
    </xdr:from>
    <xdr:to>
      <xdr:col>14</xdr:col>
      <xdr:colOff>7620</xdr:colOff>
      <xdr:row>26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720E5-533E-B0F2-1077-FB93E980A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0</xdr:row>
      <xdr:rowOff>179070</xdr:rowOff>
    </xdr:from>
    <xdr:to>
      <xdr:col>12</xdr:col>
      <xdr:colOff>289560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3929A-717D-4BDB-54AC-965D3DE0C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</xdr:colOff>
      <xdr:row>0</xdr:row>
      <xdr:rowOff>91440</xdr:rowOff>
    </xdr:from>
    <xdr:to>
      <xdr:col>13</xdr:col>
      <xdr:colOff>464820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F68A37-3E16-22C3-967B-AD7CC7295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0</xdr:row>
      <xdr:rowOff>171450</xdr:rowOff>
    </xdr:from>
    <xdr:to>
      <xdr:col>14</xdr:col>
      <xdr:colOff>144780</xdr:colOff>
      <xdr:row>26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547E4-E0C0-5376-1575-1C8955E47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1</xdr:row>
      <xdr:rowOff>118110</xdr:rowOff>
    </xdr:from>
    <xdr:to>
      <xdr:col>18</xdr:col>
      <xdr:colOff>121920</xdr:colOff>
      <xdr:row>26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32B01-1370-9D64-EDAD-3C9EC09A1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9</xdr:col>
      <xdr:colOff>251460</xdr:colOff>
      <xdr:row>22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41765-B3DE-4149-B604-8CEBCA548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1</xdr:row>
      <xdr:rowOff>80010</xdr:rowOff>
    </xdr:from>
    <xdr:to>
      <xdr:col>13</xdr:col>
      <xdr:colOff>312420</xdr:colOff>
      <xdr:row>26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5EFE4-36A8-3DE4-334B-A76F69F28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0</xdr:row>
      <xdr:rowOff>110490</xdr:rowOff>
    </xdr:from>
    <xdr:to>
      <xdr:col>13</xdr:col>
      <xdr:colOff>274320</xdr:colOff>
      <xdr:row>26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895BBD-431C-83C2-0B9A-E534B527A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774.615466550924" createdVersion="8" refreshedVersion="8" minRefreshableVersion="3" recordCount="500" xr:uid="{AABEBE44-2BAB-4F45-B346-DEEBC9BCF362}">
  <cacheSource type="worksheet">
    <worksheetSource ref="A1:L501" sheet="startup_data"/>
  </cacheSource>
  <cacheFields count="13">
    <cacheField name="Startup Name" numFmtId="0">
      <sharedItems count="500">
        <s v="Startup_1"/>
        <s v="Startup_2"/>
        <s v="Startup_3"/>
        <s v="Startup_4"/>
        <s v="Startup_5"/>
        <s v="Startup_6"/>
        <s v="Startup_7"/>
        <s v="Startup_8"/>
        <s v="Startup_9"/>
        <s v="Startup_10"/>
        <s v="Startup_11"/>
        <s v="Startup_12"/>
        <s v="Startup_13"/>
        <s v="Startup_14"/>
        <s v="Startup_15"/>
        <s v="Startup_16"/>
        <s v="Startup_17"/>
        <s v="Startup_18"/>
        <s v="Startup_19"/>
        <s v="Startup_20"/>
        <s v="Startup_21"/>
        <s v="Startup_22"/>
        <s v="Startup_23"/>
        <s v="Startup_24"/>
        <s v="Startup_25"/>
        <s v="Startup_26"/>
        <s v="Startup_27"/>
        <s v="Startup_28"/>
        <s v="Startup_29"/>
        <s v="Startup_30"/>
        <s v="Startup_31"/>
        <s v="Startup_32"/>
        <s v="Startup_33"/>
        <s v="Startup_34"/>
        <s v="Startup_35"/>
        <s v="Startup_36"/>
        <s v="Startup_37"/>
        <s v="Startup_38"/>
        <s v="Startup_39"/>
        <s v="Startup_40"/>
        <s v="Startup_41"/>
        <s v="Startup_42"/>
        <s v="Startup_43"/>
        <s v="Startup_44"/>
        <s v="Startup_45"/>
        <s v="Startup_46"/>
        <s v="Startup_47"/>
        <s v="Startup_48"/>
        <s v="Startup_49"/>
        <s v="Startup_50"/>
        <s v="Startup_51"/>
        <s v="Startup_52"/>
        <s v="Startup_53"/>
        <s v="Startup_54"/>
        <s v="Startup_55"/>
        <s v="Startup_56"/>
        <s v="Startup_57"/>
        <s v="Startup_58"/>
        <s v="Startup_59"/>
        <s v="Startup_60"/>
        <s v="Startup_61"/>
        <s v="Startup_62"/>
        <s v="Startup_63"/>
        <s v="Startup_64"/>
        <s v="Startup_65"/>
        <s v="Startup_66"/>
        <s v="Startup_67"/>
        <s v="Startup_68"/>
        <s v="Startup_69"/>
        <s v="Startup_70"/>
        <s v="Startup_71"/>
        <s v="Startup_72"/>
        <s v="Startup_73"/>
        <s v="Startup_74"/>
        <s v="Startup_75"/>
        <s v="Startup_76"/>
        <s v="Startup_77"/>
        <s v="Startup_78"/>
        <s v="Startup_79"/>
        <s v="Startup_80"/>
        <s v="Startup_81"/>
        <s v="Startup_82"/>
        <s v="Startup_83"/>
        <s v="Startup_84"/>
        <s v="Startup_85"/>
        <s v="Startup_86"/>
        <s v="Startup_87"/>
        <s v="Startup_88"/>
        <s v="Startup_89"/>
        <s v="Startup_90"/>
        <s v="Startup_91"/>
        <s v="Startup_92"/>
        <s v="Startup_93"/>
        <s v="Startup_94"/>
        <s v="Startup_95"/>
        <s v="Startup_96"/>
        <s v="Startup_97"/>
        <s v="Startup_98"/>
        <s v="Startup_99"/>
        <s v="Startup_100"/>
        <s v="Startup_101"/>
        <s v="Startup_102"/>
        <s v="Startup_103"/>
        <s v="Startup_104"/>
        <s v="Startup_105"/>
        <s v="Startup_106"/>
        <s v="Startup_107"/>
        <s v="Startup_108"/>
        <s v="Startup_109"/>
        <s v="Startup_110"/>
        <s v="Startup_111"/>
        <s v="Startup_112"/>
        <s v="Startup_113"/>
        <s v="Startup_114"/>
        <s v="Startup_115"/>
        <s v="Startup_116"/>
        <s v="Startup_117"/>
        <s v="Startup_118"/>
        <s v="Startup_119"/>
        <s v="Startup_120"/>
        <s v="Startup_121"/>
        <s v="Startup_122"/>
        <s v="Startup_123"/>
        <s v="Startup_124"/>
        <s v="Startup_125"/>
        <s v="Startup_126"/>
        <s v="Startup_127"/>
        <s v="Startup_128"/>
        <s v="Startup_129"/>
        <s v="Startup_130"/>
        <s v="Startup_131"/>
        <s v="Startup_132"/>
        <s v="Startup_133"/>
        <s v="Startup_134"/>
        <s v="Startup_135"/>
        <s v="Startup_136"/>
        <s v="Startup_137"/>
        <s v="Startup_138"/>
        <s v="Startup_139"/>
        <s v="Startup_140"/>
        <s v="Startup_141"/>
        <s v="Startup_142"/>
        <s v="Startup_143"/>
        <s v="Startup_144"/>
        <s v="Startup_145"/>
        <s v="Startup_146"/>
        <s v="Startup_147"/>
        <s v="Startup_148"/>
        <s v="Startup_149"/>
        <s v="Startup_150"/>
        <s v="Startup_151"/>
        <s v="Startup_152"/>
        <s v="Startup_153"/>
        <s v="Startup_154"/>
        <s v="Startup_155"/>
        <s v="Startup_156"/>
        <s v="Startup_157"/>
        <s v="Startup_158"/>
        <s v="Startup_159"/>
        <s v="Startup_160"/>
        <s v="Startup_161"/>
        <s v="Startup_162"/>
        <s v="Startup_163"/>
        <s v="Startup_164"/>
        <s v="Startup_165"/>
        <s v="Startup_166"/>
        <s v="Startup_167"/>
        <s v="Startup_168"/>
        <s v="Startup_169"/>
        <s v="Startup_170"/>
        <s v="Startup_171"/>
        <s v="Startup_172"/>
        <s v="Startup_173"/>
        <s v="Startup_174"/>
        <s v="Startup_175"/>
        <s v="Startup_176"/>
        <s v="Startup_177"/>
        <s v="Startup_178"/>
        <s v="Startup_179"/>
        <s v="Startup_180"/>
        <s v="Startup_181"/>
        <s v="Startup_182"/>
        <s v="Startup_183"/>
        <s v="Startup_184"/>
        <s v="Startup_185"/>
        <s v="Startup_186"/>
        <s v="Startup_187"/>
        <s v="Startup_188"/>
        <s v="Startup_189"/>
        <s v="Startup_190"/>
        <s v="Startup_191"/>
        <s v="Startup_192"/>
        <s v="Startup_193"/>
        <s v="Startup_194"/>
        <s v="Startup_195"/>
        <s v="Startup_196"/>
        <s v="Startup_197"/>
        <s v="Startup_198"/>
        <s v="Startup_199"/>
        <s v="Startup_200"/>
        <s v="Startup_201"/>
        <s v="Startup_202"/>
        <s v="Startup_203"/>
        <s v="Startup_204"/>
        <s v="Startup_205"/>
        <s v="Startup_206"/>
        <s v="Startup_207"/>
        <s v="Startup_208"/>
        <s v="Startup_209"/>
        <s v="Startup_210"/>
        <s v="Startup_211"/>
        <s v="Startup_212"/>
        <s v="Startup_213"/>
        <s v="Startup_214"/>
        <s v="Startup_215"/>
        <s v="Startup_216"/>
        <s v="Startup_217"/>
        <s v="Startup_218"/>
        <s v="Startup_219"/>
        <s v="Startup_220"/>
        <s v="Startup_221"/>
        <s v="Startup_222"/>
        <s v="Startup_223"/>
        <s v="Startup_224"/>
        <s v="Startup_225"/>
        <s v="Startup_226"/>
        <s v="Startup_227"/>
        <s v="Startup_228"/>
        <s v="Startup_229"/>
        <s v="Startup_230"/>
        <s v="Startup_231"/>
        <s v="Startup_232"/>
        <s v="Startup_233"/>
        <s v="Startup_234"/>
        <s v="Startup_235"/>
        <s v="Startup_236"/>
        <s v="Startup_237"/>
        <s v="Startup_238"/>
        <s v="Startup_239"/>
        <s v="Startup_240"/>
        <s v="Startup_241"/>
        <s v="Startup_242"/>
        <s v="Startup_243"/>
        <s v="Startup_244"/>
        <s v="Startup_245"/>
        <s v="Startup_246"/>
        <s v="Startup_247"/>
        <s v="Startup_248"/>
        <s v="Startup_249"/>
        <s v="Startup_250"/>
        <s v="Startup_251"/>
        <s v="Startup_252"/>
        <s v="Startup_253"/>
        <s v="Startup_254"/>
        <s v="Startup_255"/>
        <s v="Startup_256"/>
        <s v="Startup_257"/>
        <s v="Startup_258"/>
        <s v="Startup_259"/>
        <s v="Startup_260"/>
        <s v="Startup_261"/>
        <s v="Startup_262"/>
        <s v="Startup_263"/>
        <s v="Startup_264"/>
        <s v="Startup_265"/>
        <s v="Startup_266"/>
        <s v="Startup_267"/>
        <s v="Startup_268"/>
        <s v="Startup_269"/>
        <s v="Startup_270"/>
        <s v="Startup_271"/>
        <s v="Startup_272"/>
        <s v="Startup_273"/>
        <s v="Startup_274"/>
        <s v="Startup_275"/>
        <s v="Startup_276"/>
        <s v="Startup_277"/>
        <s v="Startup_278"/>
        <s v="Startup_279"/>
        <s v="Startup_280"/>
        <s v="Startup_281"/>
        <s v="Startup_282"/>
        <s v="Startup_283"/>
        <s v="Startup_284"/>
        <s v="Startup_285"/>
        <s v="Startup_286"/>
        <s v="Startup_287"/>
        <s v="Startup_288"/>
        <s v="Startup_289"/>
        <s v="Startup_290"/>
        <s v="Startup_291"/>
        <s v="Startup_292"/>
        <s v="Startup_293"/>
        <s v="Startup_294"/>
        <s v="Startup_295"/>
        <s v="Startup_296"/>
        <s v="Startup_297"/>
        <s v="Startup_298"/>
        <s v="Startup_299"/>
        <s v="Startup_300"/>
        <s v="Startup_301"/>
        <s v="Startup_302"/>
        <s v="Startup_303"/>
        <s v="Startup_304"/>
        <s v="Startup_305"/>
        <s v="Startup_306"/>
        <s v="Startup_307"/>
        <s v="Startup_308"/>
        <s v="Startup_309"/>
        <s v="Startup_310"/>
        <s v="Startup_311"/>
        <s v="Startup_312"/>
        <s v="Startup_313"/>
        <s v="Startup_314"/>
        <s v="Startup_315"/>
        <s v="Startup_316"/>
        <s v="Startup_317"/>
        <s v="Startup_318"/>
        <s v="Startup_319"/>
        <s v="Startup_320"/>
        <s v="Startup_321"/>
        <s v="Startup_322"/>
        <s v="Startup_323"/>
        <s v="Startup_324"/>
        <s v="Startup_325"/>
        <s v="Startup_326"/>
        <s v="Startup_327"/>
        <s v="Startup_328"/>
        <s v="Startup_329"/>
        <s v="Startup_330"/>
        <s v="Startup_331"/>
        <s v="Startup_332"/>
        <s v="Startup_333"/>
        <s v="Startup_334"/>
        <s v="Startup_335"/>
        <s v="Startup_336"/>
        <s v="Startup_337"/>
        <s v="Startup_338"/>
        <s v="Startup_339"/>
        <s v="Startup_340"/>
        <s v="Startup_341"/>
        <s v="Startup_342"/>
        <s v="Startup_343"/>
        <s v="Startup_344"/>
        <s v="Startup_345"/>
        <s v="Startup_346"/>
        <s v="Startup_347"/>
        <s v="Startup_348"/>
        <s v="Startup_349"/>
        <s v="Startup_350"/>
        <s v="Startup_351"/>
        <s v="Startup_352"/>
        <s v="Startup_353"/>
        <s v="Startup_354"/>
        <s v="Startup_355"/>
        <s v="Startup_356"/>
        <s v="Startup_357"/>
        <s v="Startup_358"/>
        <s v="Startup_359"/>
        <s v="Startup_360"/>
        <s v="Startup_361"/>
        <s v="Startup_362"/>
        <s v="Startup_363"/>
        <s v="Startup_364"/>
        <s v="Startup_365"/>
        <s v="Startup_366"/>
        <s v="Startup_367"/>
        <s v="Startup_368"/>
        <s v="Startup_369"/>
        <s v="Startup_370"/>
        <s v="Startup_371"/>
        <s v="Startup_372"/>
        <s v="Startup_373"/>
        <s v="Startup_374"/>
        <s v="Startup_375"/>
        <s v="Startup_376"/>
        <s v="Startup_377"/>
        <s v="Startup_378"/>
        <s v="Startup_379"/>
        <s v="Startup_380"/>
        <s v="Startup_381"/>
        <s v="Startup_382"/>
        <s v="Startup_383"/>
        <s v="Startup_384"/>
        <s v="Startup_385"/>
        <s v="Startup_386"/>
        <s v="Startup_387"/>
        <s v="Startup_388"/>
        <s v="Startup_389"/>
        <s v="Startup_390"/>
        <s v="Startup_391"/>
        <s v="Startup_392"/>
        <s v="Startup_393"/>
        <s v="Startup_394"/>
        <s v="Startup_395"/>
        <s v="Startup_396"/>
        <s v="Startup_397"/>
        <s v="Startup_398"/>
        <s v="Startup_399"/>
        <s v="Startup_400"/>
        <s v="Startup_401"/>
        <s v="Startup_402"/>
        <s v="Startup_403"/>
        <s v="Startup_404"/>
        <s v="Startup_405"/>
        <s v="Startup_406"/>
        <s v="Startup_407"/>
        <s v="Startup_408"/>
        <s v="Startup_409"/>
        <s v="Startup_410"/>
        <s v="Startup_411"/>
        <s v="Startup_412"/>
        <s v="Startup_413"/>
        <s v="Startup_414"/>
        <s v="Startup_415"/>
        <s v="Startup_416"/>
        <s v="Startup_417"/>
        <s v="Startup_418"/>
        <s v="Startup_419"/>
        <s v="Startup_420"/>
        <s v="Startup_421"/>
        <s v="Startup_422"/>
        <s v="Startup_423"/>
        <s v="Startup_424"/>
        <s v="Startup_425"/>
        <s v="Startup_426"/>
        <s v="Startup_427"/>
        <s v="Startup_428"/>
        <s v="Startup_429"/>
        <s v="Startup_430"/>
        <s v="Startup_431"/>
        <s v="Startup_432"/>
        <s v="Startup_433"/>
        <s v="Startup_434"/>
        <s v="Startup_435"/>
        <s v="Startup_436"/>
        <s v="Startup_437"/>
        <s v="Startup_438"/>
        <s v="Startup_439"/>
        <s v="Startup_440"/>
        <s v="Startup_441"/>
        <s v="Startup_442"/>
        <s v="Startup_443"/>
        <s v="Startup_444"/>
        <s v="Startup_445"/>
        <s v="Startup_446"/>
        <s v="Startup_447"/>
        <s v="Startup_448"/>
        <s v="Startup_449"/>
        <s v="Startup_450"/>
        <s v="Startup_451"/>
        <s v="Startup_452"/>
        <s v="Startup_453"/>
        <s v="Startup_454"/>
        <s v="Startup_455"/>
        <s v="Startup_456"/>
        <s v="Startup_457"/>
        <s v="Startup_458"/>
        <s v="Startup_459"/>
        <s v="Startup_460"/>
        <s v="Startup_461"/>
        <s v="Startup_462"/>
        <s v="Startup_463"/>
        <s v="Startup_464"/>
        <s v="Startup_465"/>
        <s v="Startup_466"/>
        <s v="Startup_467"/>
        <s v="Startup_468"/>
        <s v="Startup_469"/>
        <s v="Startup_470"/>
        <s v="Startup_471"/>
        <s v="Startup_472"/>
        <s v="Startup_473"/>
        <s v="Startup_474"/>
        <s v="Startup_475"/>
        <s v="Startup_476"/>
        <s v="Startup_477"/>
        <s v="Startup_478"/>
        <s v="Startup_479"/>
        <s v="Startup_480"/>
        <s v="Startup_481"/>
        <s v="Startup_482"/>
        <s v="Startup_483"/>
        <s v="Startup_484"/>
        <s v="Startup_485"/>
        <s v="Startup_486"/>
        <s v="Startup_487"/>
        <s v="Startup_488"/>
        <s v="Startup_489"/>
        <s v="Startup_490"/>
        <s v="Startup_491"/>
        <s v="Startup_492"/>
        <s v="Startup_493"/>
        <s v="Startup_494"/>
        <s v="Startup_495"/>
        <s v="Startup_496"/>
        <s v="Startup_497"/>
        <s v="Startup_498"/>
        <s v="Startup_499"/>
        <s v="Startup_500"/>
      </sharedItems>
    </cacheField>
    <cacheField name="Industry" numFmtId="0">
      <sharedItems count="8">
        <s v="IoT"/>
        <s v="EdTech"/>
        <s v="Gaming"/>
        <s v="AI"/>
        <s v="HealthTech"/>
        <s v="FinTech"/>
        <s v="Cybersecurity"/>
        <s v="E-Commerce"/>
      </sharedItems>
    </cacheField>
    <cacheField name="Funding Rounds" numFmtId="0">
      <sharedItems containsSemiMixedTypes="0" containsString="0" containsNumber="1" containsInteger="1" minValue="1" maxValue="5"/>
    </cacheField>
    <cacheField name="Funding Amount (M USD)" numFmtId="0">
      <sharedItems containsSemiMixedTypes="0" containsString="0" containsNumber="1" minValue="0.56999999999999995" maxValue="299.81"/>
    </cacheField>
    <cacheField name="Valuation (M USD)" numFmtId="0">
      <sharedItems containsSemiMixedTypes="0" containsString="0" containsNumber="1" minValue="2.4300000000000002" maxValue="4357.49"/>
    </cacheField>
    <cacheField name="Revenue (M USD)" numFmtId="0">
      <sharedItems containsSemiMixedTypes="0" containsString="0" containsNumber="1" minValue="0.12" maxValue="99.71"/>
    </cacheField>
    <cacheField name="Employees" numFmtId="0">
      <sharedItems containsSemiMixedTypes="0" containsString="0" containsNumber="1" containsInteger="1" minValue="12" maxValue="4984"/>
    </cacheField>
    <cacheField name="Market Share (%)" numFmtId="0">
      <sharedItems containsSemiMixedTypes="0" containsString="0" containsNumber="1" minValue="0.1" maxValue="10"/>
    </cacheField>
    <cacheField name="Profitable" numFmtId="0">
      <sharedItems containsSemiMixedTypes="0" containsString="0" containsNumber="1" containsInteger="1" minValue="0" maxValue="1" count="2">
        <n v="0"/>
        <n v="1"/>
      </sharedItems>
    </cacheField>
    <cacheField name="Year Founded" numFmtId="0">
      <sharedItems containsSemiMixedTypes="0" containsString="0" containsNumber="1" containsInteger="1" minValue="1990" maxValue="2022" count="33">
        <n v="2006"/>
        <n v="2003"/>
        <n v="1995"/>
        <n v="1997"/>
        <n v="2004"/>
        <n v="2016"/>
        <n v="2002"/>
        <n v="2020"/>
        <n v="1994"/>
        <n v="2011"/>
        <n v="2012"/>
        <n v="2014"/>
        <n v="2015"/>
        <n v="2009"/>
        <n v="2007"/>
        <n v="1993"/>
        <n v="1996"/>
        <n v="2008"/>
        <n v="2021"/>
        <n v="2013"/>
        <n v="1990"/>
        <n v="2005"/>
        <n v="2017"/>
        <n v="1991"/>
        <n v="1992"/>
        <n v="1998"/>
        <n v="2019"/>
        <n v="1999"/>
        <n v="2018"/>
        <n v="2000"/>
        <n v="2001"/>
        <n v="2022"/>
        <n v="2010"/>
      </sharedItems>
    </cacheField>
    <cacheField name="Region" numFmtId="0">
      <sharedItems count="5">
        <s v="Europe"/>
        <s v="South America"/>
        <s v="Australia"/>
        <s v="North America"/>
        <s v="Asia"/>
      </sharedItems>
    </cacheField>
    <cacheField name="Exit Status" numFmtId="0">
      <sharedItems/>
    </cacheField>
    <cacheField name="valuation-to-revenue ratio" numFmtId="0" formula="'Valuation (M USD)'/'Revenue (M USD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os" refreshedDate="45774.839715856484" createdVersion="8" refreshedVersion="8" minRefreshableVersion="3" recordCount="500" xr:uid="{C1F9C57C-4D7A-478C-A9E9-EBF49188A2BC}">
  <cacheSource type="worksheet">
    <worksheetSource ref="A1:M501" sheet="startup_data"/>
  </cacheSource>
  <cacheFields count="18">
    <cacheField name="Startup Name" numFmtId="0">
      <sharedItems count="500">
        <s v="Startup_1"/>
        <s v="Startup_2"/>
        <s v="Startup_3"/>
        <s v="Startup_4"/>
        <s v="Startup_5"/>
        <s v="Startup_6"/>
        <s v="Startup_7"/>
        <s v="Startup_8"/>
        <s v="Startup_9"/>
        <s v="Startup_10"/>
        <s v="Startup_11"/>
        <s v="Startup_12"/>
        <s v="Startup_13"/>
        <s v="Startup_14"/>
        <s v="Startup_15"/>
        <s v="Startup_16"/>
        <s v="Startup_17"/>
        <s v="Startup_18"/>
        <s v="Startup_19"/>
        <s v="Startup_20"/>
        <s v="Startup_21"/>
        <s v="Startup_22"/>
        <s v="Startup_23"/>
        <s v="Startup_24"/>
        <s v="Startup_25"/>
        <s v="Startup_26"/>
        <s v="Startup_27"/>
        <s v="Startup_28"/>
        <s v="Startup_29"/>
        <s v="Startup_30"/>
        <s v="Startup_31"/>
        <s v="Startup_32"/>
        <s v="Startup_33"/>
        <s v="Startup_34"/>
        <s v="Startup_35"/>
        <s v="Startup_36"/>
        <s v="Startup_37"/>
        <s v="Startup_38"/>
        <s v="Startup_39"/>
        <s v="Startup_40"/>
        <s v="Startup_41"/>
        <s v="Startup_42"/>
        <s v="Startup_43"/>
        <s v="Startup_44"/>
        <s v="Startup_45"/>
        <s v="Startup_46"/>
        <s v="Startup_47"/>
        <s v="Startup_48"/>
        <s v="Startup_49"/>
        <s v="Startup_50"/>
        <s v="Startup_51"/>
        <s v="Startup_52"/>
        <s v="Startup_53"/>
        <s v="Startup_54"/>
        <s v="Startup_55"/>
        <s v="Startup_56"/>
        <s v="Startup_57"/>
        <s v="Startup_58"/>
        <s v="Startup_59"/>
        <s v="Startup_60"/>
        <s v="Startup_61"/>
        <s v="Startup_62"/>
        <s v="Startup_63"/>
        <s v="Startup_64"/>
        <s v="Startup_65"/>
        <s v="Startup_66"/>
        <s v="Startup_67"/>
        <s v="Startup_68"/>
        <s v="Startup_69"/>
        <s v="Startup_70"/>
        <s v="Startup_71"/>
        <s v="Startup_72"/>
        <s v="Startup_73"/>
        <s v="Startup_74"/>
        <s v="Startup_75"/>
        <s v="Startup_76"/>
        <s v="Startup_77"/>
        <s v="Startup_78"/>
        <s v="Startup_79"/>
        <s v="Startup_80"/>
        <s v="Startup_81"/>
        <s v="Startup_82"/>
        <s v="Startup_83"/>
        <s v="Startup_84"/>
        <s v="Startup_85"/>
        <s v="Startup_86"/>
        <s v="Startup_87"/>
        <s v="Startup_88"/>
        <s v="Startup_89"/>
        <s v="Startup_90"/>
        <s v="Startup_91"/>
        <s v="Startup_92"/>
        <s v="Startup_93"/>
        <s v="Startup_94"/>
        <s v="Startup_95"/>
        <s v="Startup_96"/>
        <s v="Startup_97"/>
        <s v="Startup_98"/>
        <s v="Startup_99"/>
        <s v="Startup_100"/>
        <s v="Startup_101"/>
        <s v="Startup_102"/>
        <s v="Startup_103"/>
        <s v="Startup_104"/>
        <s v="Startup_105"/>
        <s v="Startup_106"/>
        <s v="Startup_107"/>
        <s v="Startup_108"/>
        <s v="Startup_109"/>
        <s v="Startup_110"/>
        <s v="Startup_111"/>
        <s v="Startup_112"/>
        <s v="Startup_113"/>
        <s v="Startup_114"/>
        <s v="Startup_115"/>
        <s v="Startup_116"/>
        <s v="Startup_117"/>
        <s v="Startup_118"/>
        <s v="Startup_119"/>
        <s v="Startup_120"/>
        <s v="Startup_121"/>
        <s v="Startup_122"/>
        <s v="Startup_123"/>
        <s v="Startup_124"/>
        <s v="Startup_125"/>
        <s v="Startup_126"/>
        <s v="Startup_127"/>
        <s v="Startup_128"/>
        <s v="Startup_129"/>
        <s v="Startup_130"/>
        <s v="Startup_131"/>
        <s v="Startup_132"/>
        <s v="Startup_133"/>
        <s v="Startup_134"/>
        <s v="Startup_135"/>
        <s v="Startup_136"/>
        <s v="Startup_137"/>
        <s v="Startup_138"/>
        <s v="Startup_139"/>
        <s v="Startup_140"/>
        <s v="Startup_141"/>
        <s v="Startup_142"/>
        <s v="Startup_143"/>
        <s v="Startup_144"/>
        <s v="Startup_145"/>
        <s v="Startup_146"/>
        <s v="Startup_147"/>
        <s v="Startup_148"/>
        <s v="Startup_149"/>
        <s v="Startup_150"/>
        <s v="Startup_151"/>
        <s v="Startup_152"/>
        <s v="Startup_153"/>
        <s v="Startup_154"/>
        <s v="Startup_155"/>
        <s v="Startup_156"/>
        <s v="Startup_157"/>
        <s v="Startup_158"/>
        <s v="Startup_159"/>
        <s v="Startup_160"/>
        <s v="Startup_161"/>
        <s v="Startup_162"/>
        <s v="Startup_163"/>
        <s v="Startup_164"/>
        <s v="Startup_165"/>
        <s v="Startup_166"/>
        <s v="Startup_167"/>
        <s v="Startup_168"/>
        <s v="Startup_169"/>
        <s v="Startup_170"/>
        <s v="Startup_171"/>
        <s v="Startup_172"/>
        <s v="Startup_173"/>
        <s v="Startup_174"/>
        <s v="Startup_175"/>
        <s v="Startup_176"/>
        <s v="Startup_177"/>
        <s v="Startup_178"/>
        <s v="Startup_179"/>
        <s v="Startup_180"/>
        <s v="Startup_181"/>
        <s v="Startup_182"/>
        <s v="Startup_183"/>
        <s v="Startup_184"/>
        <s v="Startup_185"/>
        <s v="Startup_186"/>
        <s v="Startup_187"/>
        <s v="Startup_188"/>
        <s v="Startup_189"/>
        <s v="Startup_190"/>
        <s v="Startup_191"/>
        <s v="Startup_192"/>
        <s v="Startup_193"/>
        <s v="Startup_194"/>
        <s v="Startup_195"/>
        <s v="Startup_196"/>
        <s v="Startup_197"/>
        <s v="Startup_198"/>
        <s v="Startup_199"/>
        <s v="Startup_200"/>
        <s v="Startup_201"/>
        <s v="Startup_202"/>
        <s v="Startup_203"/>
        <s v="Startup_204"/>
        <s v="Startup_205"/>
        <s v="Startup_206"/>
        <s v="Startup_207"/>
        <s v="Startup_208"/>
        <s v="Startup_209"/>
        <s v="Startup_210"/>
        <s v="Startup_211"/>
        <s v="Startup_212"/>
        <s v="Startup_213"/>
        <s v="Startup_214"/>
        <s v="Startup_215"/>
        <s v="Startup_216"/>
        <s v="Startup_217"/>
        <s v="Startup_218"/>
        <s v="Startup_219"/>
        <s v="Startup_220"/>
        <s v="Startup_221"/>
        <s v="Startup_222"/>
        <s v="Startup_223"/>
        <s v="Startup_224"/>
        <s v="Startup_225"/>
        <s v="Startup_226"/>
        <s v="Startup_227"/>
        <s v="Startup_228"/>
        <s v="Startup_229"/>
        <s v="Startup_230"/>
        <s v="Startup_231"/>
        <s v="Startup_232"/>
        <s v="Startup_233"/>
        <s v="Startup_234"/>
        <s v="Startup_235"/>
        <s v="Startup_236"/>
        <s v="Startup_237"/>
        <s v="Startup_238"/>
        <s v="Startup_239"/>
        <s v="Startup_240"/>
        <s v="Startup_241"/>
        <s v="Startup_242"/>
        <s v="Startup_243"/>
        <s v="Startup_244"/>
        <s v="Startup_245"/>
        <s v="Startup_246"/>
        <s v="Startup_247"/>
        <s v="Startup_248"/>
        <s v="Startup_249"/>
        <s v="Startup_250"/>
        <s v="Startup_251"/>
        <s v="Startup_252"/>
        <s v="Startup_253"/>
        <s v="Startup_254"/>
        <s v="Startup_255"/>
        <s v="Startup_256"/>
        <s v="Startup_257"/>
        <s v="Startup_258"/>
        <s v="Startup_259"/>
        <s v="Startup_260"/>
        <s v="Startup_261"/>
        <s v="Startup_262"/>
        <s v="Startup_263"/>
        <s v="Startup_264"/>
        <s v="Startup_265"/>
        <s v="Startup_266"/>
        <s v="Startup_267"/>
        <s v="Startup_268"/>
        <s v="Startup_269"/>
        <s v="Startup_270"/>
        <s v="Startup_271"/>
        <s v="Startup_272"/>
        <s v="Startup_273"/>
        <s v="Startup_274"/>
        <s v="Startup_275"/>
        <s v="Startup_276"/>
        <s v="Startup_277"/>
        <s v="Startup_278"/>
        <s v="Startup_279"/>
        <s v="Startup_280"/>
        <s v="Startup_281"/>
        <s v="Startup_282"/>
        <s v="Startup_283"/>
        <s v="Startup_284"/>
        <s v="Startup_285"/>
        <s v="Startup_286"/>
        <s v="Startup_287"/>
        <s v="Startup_288"/>
        <s v="Startup_289"/>
        <s v="Startup_290"/>
        <s v="Startup_291"/>
        <s v="Startup_292"/>
        <s v="Startup_293"/>
        <s v="Startup_294"/>
        <s v="Startup_295"/>
        <s v="Startup_296"/>
        <s v="Startup_297"/>
        <s v="Startup_298"/>
        <s v="Startup_299"/>
        <s v="Startup_300"/>
        <s v="Startup_301"/>
        <s v="Startup_302"/>
        <s v="Startup_303"/>
        <s v="Startup_304"/>
        <s v="Startup_305"/>
        <s v="Startup_306"/>
        <s v="Startup_307"/>
        <s v="Startup_308"/>
        <s v="Startup_309"/>
        <s v="Startup_310"/>
        <s v="Startup_311"/>
        <s v="Startup_312"/>
        <s v="Startup_313"/>
        <s v="Startup_314"/>
        <s v="Startup_315"/>
        <s v="Startup_316"/>
        <s v="Startup_317"/>
        <s v="Startup_318"/>
        <s v="Startup_319"/>
        <s v="Startup_320"/>
        <s v="Startup_321"/>
        <s v="Startup_322"/>
        <s v="Startup_323"/>
        <s v="Startup_324"/>
        <s v="Startup_325"/>
        <s v="Startup_326"/>
        <s v="Startup_327"/>
        <s v="Startup_328"/>
        <s v="Startup_329"/>
        <s v="Startup_330"/>
        <s v="Startup_331"/>
        <s v="Startup_332"/>
        <s v="Startup_333"/>
        <s v="Startup_334"/>
        <s v="Startup_335"/>
        <s v="Startup_336"/>
        <s v="Startup_337"/>
        <s v="Startup_338"/>
        <s v="Startup_339"/>
        <s v="Startup_340"/>
        <s v="Startup_341"/>
        <s v="Startup_342"/>
        <s v="Startup_343"/>
        <s v="Startup_344"/>
        <s v="Startup_345"/>
        <s v="Startup_346"/>
        <s v="Startup_347"/>
        <s v="Startup_348"/>
        <s v="Startup_349"/>
        <s v="Startup_350"/>
        <s v="Startup_351"/>
        <s v="Startup_352"/>
        <s v="Startup_353"/>
        <s v="Startup_354"/>
        <s v="Startup_355"/>
        <s v="Startup_356"/>
        <s v="Startup_357"/>
        <s v="Startup_358"/>
        <s v="Startup_359"/>
        <s v="Startup_360"/>
        <s v="Startup_361"/>
        <s v="Startup_362"/>
        <s v="Startup_363"/>
        <s v="Startup_364"/>
        <s v="Startup_365"/>
        <s v="Startup_366"/>
        <s v="Startup_367"/>
        <s v="Startup_368"/>
        <s v="Startup_369"/>
        <s v="Startup_370"/>
        <s v="Startup_371"/>
        <s v="Startup_372"/>
        <s v="Startup_373"/>
        <s v="Startup_374"/>
        <s v="Startup_375"/>
        <s v="Startup_376"/>
        <s v="Startup_377"/>
        <s v="Startup_378"/>
        <s v="Startup_379"/>
        <s v="Startup_380"/>
        <s v="Startup_381"/>
        <s v="Startup_382"/>
        <s v="Startup_383"/>
        <s v="Startup_384"/>
        <s v="Startup_385"/>
        <s v="Startup_386"/>
        <s v="Startup_387"/>
        <s v="Startup_388"/>
        <s v="Startup_389"/>
        <s v="Startup_390"/>
        <s v="Startup_391"/>
        <s v="Startup_392"/>
        <s v="Startup_393"/>
        <s v="Startup_394"/>
        <s v="Startup_395"/>
        <s v="Startup_396"/>
        <s v="Startup_397"/>
        <s v="Startup_398"/>
        <s v="Startup_399"/>
        <s v="Startup_400"/>
        <s v="Startup_401"/>
        <s v="Startup_402"/>
        <s v="Startup_403"/>
        <s v="Startup_404"/>
        <s v="Startup_405"/>
        <s v="Startup_406"/>
        <s v="Startup_407"/>
        <s v="Startup_408"/>
        <s v="Startup_409"/>
        <s v="Startup_410"/>
        <s v="Startup_411"/>
        <s v="Startup_412"/>
        <s v="Startup_413"/>
        <s v="Startup_414"/>
        <s v="Startup_415"/>
        <s v="Startup_416"/>
        <s v="Startup_417"/>
        <s v="Startup_418"/>
        <s v="Startup_419"/>
        <s v="Startup_420"/>
        <s v="Startup_421"/>
        <s v="Startup_422"/>
        <s v="Startup_423"/>
        <s v="Startup_424"/>
        <s v="Startup_425"/>
        <s v="Startup_426"/>
        <s v="Startup_427"/>
        <s v="Startup_428"/>
        <s v="Startup_429"/>
        <s v="Startup_430"/>
        <s v="Startup_431"/>
        <s v="Startup_432"/>
        <s v="Startup_433"/>
        <s v="Startup_434"/>
        <s v="Startup_435"/>
        <s v="Startup_436"/>
        <s v="Startup_437"/>
        <s v="Startup_438"/>
        <s v="Startup_439"/>
        <s v="Startup_440"/>
        <s v="Startup_441"/>
        <s v="Startup_442"/>
        <s v="Startup_443"/>
        <s v="Startup_444"/>
        <s v="Startup_445"/>
        <s v="Startup_446"/>
        <s v="Startup_447"/>
        <s v="Startup_448"/>
        <s v="Startup_449"/>
        <s v="Startup_450"/>
        <s v="Startup_451"/>
        <s v="Startup_452"/>
        <s v="Startup_453"/>
        <s v="Startup_454"/>
        <s v="Startup_455"/>
        <s v="Startup_456"/>
        <s v="Startup_457"/>
        <s v="Startup_458"/>
        <s v="Startup_459"/>
        <s v="Startup_460"/>
        <s v="Startup_461"/>
        <s v="Startup_462"/>
        <s v="Startup_463"/>
        <s v="Startup_464"/>
        <s v="Startup_465"/>
        <s v="Startup_466"/>
        <s v="Startup_467"/>
        <s v="Startup_468"/>
        <s v="Startup_469"/>
        <s v="Startup_470"/>
        <s v="Startup_471"/>
        <s v="Startup_472"/>
        <s v="Startup_473"/>
        <s v="Startup_474"/>
        <s v="Startup_475"/>
        <s v="Startup_476"/>
        <s v="Startup_477"/>
        <s v="Startup_478"/>
        <s v="Startup_479"/>
        <s v="Startup_480"/>
        <s v="Startup_481"/>
        <s v="Startup_482"/>
        <s v="Startup_483"/>
        <s v="Startup_484"/>
        <s v="Startup_485"/>
        <s v="Startup_486"/>
        <s v="Startup_487"/>
        <s v="Startup_488"/>
        <s v="Startup_489"/>
        <s v="Startup_490"/>
        <s v="Startup_491"/>
        <s v="Startup_492"/>
        <s v="Startup_493"/>
        <s v="Startup_494"/>
        <s v="Startup_495"/>
        <s v="Startup_496"/>
        <s v="Startup_497"/>
        <s v="Startup_498"/>
        <s v="Startup_499"/>
        <s v="Startup_500"/>
      </sharedItems>
    </cacheField>
    <cacheField name="Industry" numFmtId="0">
      <sharedItems count="8">
        <s v="IoT"/>
        <s v="EdTech"/>
        <s v="Gaming"/>
        <s v="AI"/>
        <s v="HealthTech"/>
        <s v="FinTech"/>
        <s v="Cybersecurity"/>
        <s v="E-Commerce"/>
      </sharedItems>
    </cacheField>
    <cacheField name="Funding Rounds" numFmtId="0">
      <sharedItems containsSemiMixedTypes="0" containsString="0" containsNumber="1" containsInteger="1" minValue="1" maxValue="5" count="5">
        <n v="1"/>
        <n v="5"/>
        <n v="4"/>
        <n v="3"/>
        <n v="2"/>
      </sharedItems>
    </cacheField>
    <cacheField name="Funding Amount (M USD)" numFmtId="0">
      <sharedItems containsSemiMixedTypes="0" containsString="0" containsNumber="1" minValue="0.56999999999999995" maxValue="299.81"/>
    </cacheField>
    <cacheField name="Valuation (M USD)" numFmtId="0">
      <sharedItems containsSemiMixedTypes="0" containsString="0" containsNumber="1" minValue="2.4300000000000002" maxValue="4357.49"/>
    </cacheField>
    <cacheField name="Revenue (M USD)" numFmtId="0">
      <sharedItems containsSemiMixedTypes="0" containsString="0" containsNumber="1" minValue="0.12" maxValue="99.71"/>
    </cacheField>
    <cacheField name="Employees" numFmtId="0">
      <sharedItems containsSemiMixedTypes="0" containsString="0" containsNumber="1" containsInteger="1" minValue="12" maxValue="4984"/>
    </cacheField>
    <cacheField name="Market Share (%)" numFmtId="0">
      <sharedItems containsSemiMixedTypes="0" containsString="0" containsNumber="1" minValue="0.1" maxValue="10"/>
    </cacheField>
    <cacheField name="Profitable" numFmtId="0">
      <sharedItems containsSemiMixedTypes="0" containsString="0" containsNumber="1" containsInteger="1" minValue="0" maxValue="1" count="2">
        <n v="0"/>
        <n v="1"/>
      </sharedItems>
    </cacheField>
    <cacheField name="Year Founded" numFmtId="0">
      <sharedItems containsSemiMixedTypes="0" containsString="0" containsNumber="1" containsInteger="1" minValue="1990" maxValue="2022"/>
    </cacheField>
    <cacheField name="Region" numFmtId="0">
      <sharedItems count="5">
        <s v="Europe"/>
        <s v="South America"/>
        <s v="Australia"/>
        <s v="North America"/>
        <s v="Asia"/>
      </sharedItems>
    </cacheField>
    <cacheField name="Exit Status" numFmtId="0">
      <sharedItems/>
    </cacheField>
    <cacheField name="Founded After 2010" numFmtId="0">
      <sharedItems count="2">
        <s v="No"/>
        <s v="Yes"/>
      </sharedItems>
    </cacheField>
    <cacheField name="Best funding efficiency" numFmtId="0" formula="'Valuation (M USD)'/'Funding Amount (M USD)'" databaseField="0"/>
    <cacheField name="valuation per employee" numFmtId="0" formula="'Valuation (M USD)'/Employees" databaseField="0"/>
    <cacheField name="Revenue per employee" numFmtId="0" formula="'Revenue (M USD)'/Employees" databaseField="0"/>
    <cacheField name="Funding Efficiency" numFmtId="0" formula="'Valuation (M USD)' /'Funding Amount (M USD)'" databaseField="0"/>
    <cacheField name="Revenue Efficiency" numFmtId="0" formula="'Revenue (M USD)' /'Funding Amount (M USD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n v="1"/>
    <n v="101.09"/>
    <n v="844.75"/>
    <n v="67.87"/>
    <n v="1468"/>
    <n v="5.2"/>
    <x v="0"/>
    <x v="0"/>
    <x v="0"/>
    <s v="Private"/>
  </r>
  <r>
    <x v="1"/>
    <x v="1"/>
    <n v="1"/>
    <n v="247.62"/>
    <n v="3310.83"/>
    <n v="75.650000000000006"/>
    <n v="3280"/>
    <n v="8.1"/>
    <x v="1"/>
    <x v="1"/>
    <x v="1"/>
    <s v="Private"/>
  </r>
  <r>
    <x v="2"/>
    <x v="1"/>
    <n v="1"/>
    <n v="109.24"/>
    <n v="1059.3699999999999"/>
    <n v="84.21"/>
    <n v="4933"/>
    <n v="2.61"/>
    <x v="1"/>
    <x v="2"/>
    <x v="1"/>
    <s v="Private"/>
  </r>
  <r>
    <x v="3"/>
    <x v="2"/>
    <n v="5"/>
    <n v="10.75"/>
    <n v="101.9"/>
    <n v="47.08"/>
    <n v="1059"/>
    <n v="2.5299999999999998"/>
    <x v="0"/>
    <x v="1"/>
    <x v="1"/>
    <s v="Private"/>
  </r>
  <r>
    <x v="4"/>
    <x v="0"/>
    <n v="4"/>
    <n v="249.28"/>
    <n v="850.11"/>
    <n v="50.25"/>
    <n v="1905"/>
    <n v="4.09"/>
    <x v="0"/>
    <x v="3"/>
    <x v="0"/>
    <s v="Acquired"/>
  </r>
  <r>
    <x v="5"/>
    <x v="3"/>
    <n v="5"/>
    <n v="103.89"/>
    <n v="1541.76"/>
    <n v="12.56"/>
    <n v="1462"/>
    <n v="8.9600000000000009"/>
    <x v="1"/>
    <x v="4"/>
    <x v="0"/>
    <s v="IPO"/>
  </r>
  <r>
    <x v="6"/>
    <x v="2"/>
    <n v="4"/>
    <n v="232.26"/>
    <n v="1039.51"/>
    <n v="38.6"/>
    <n v="1404"/>
    <n v="0.1"/>
    <x v="0"/>
    <x v="5"/>
    <x v="2"/>
    <s v="Private"/>
  </r>
  <r>
    <x v="7"/>
    <x v="4"/>
    <n v="5"/>
    <n v="109.15"/>
    <n v="630.19000000000005"/>
    <n v="64.37"/>
    <n v="3420"/>
    <n v="9.02"/>
    <x v="1"/>
    <x v="6"/>
    <x v="2"/>
    <s v="IPO"/>
  </r>
  <r>
    <x v="8"/>
    <x v="2"/>
    <n v="5"/>
    <n v="258.39"/>
    <n v="935.47"/>
    <n v="78.06"/>
    <n v="447"/>
    <n v="1.62"/>
    <x v="0"/>
    <x v="7"/>
    <x v="3"/>
    <s v="Acquired"/>
  </r>
  <r>
    <x v="9"/>
    <x v="5"/>
    <n v="3"/>
    <n v="66.239999999999995"/>
    <n v="707.45"/>
    <n v="21.8"/>
    <n v="3655"/>
    <n v="9.9"/>
    <x v="0"/>
    <x v="2"/>
    <x v="0"/>
    <s v="Private"/>
  </r>
  <r>
    <x v="10"/>
    <x v="3"/>
    <n v="5"/>
    <n v="292.38"/>
    <n v="1665.52"/>
    <n v="13.87"/>
    <n v="4657"/>
    <n v="9.5500000000000007"/>
    <x v="0"/>
    <x v="8"/>
    <x v="0"/>
    <s v="Private"/>
  </r>
  <r>
    <x v="11"/>
    <x v="5"/>
    <n v="2"/>
    <n v="234.04"/>
    <n v="1207.68"/>
    <n v="66.34"/>
    <n v="1183"/>
    <n v="5"/>
    <x v="0"/>
    <x v="9"/>
    <x v="0"/>
    <s v="Private"/>
  </r>
  <r>
    <x v="12"/>
    <x v="0"/>
    <n v="3"/>
    <n v="34.71"/>
    <n v="141.02000000000001"/>
    <n v="0.28999999999999998"/>
    <n v="4463"/>
    <n v="5.18"/>
    <x v="1"/>
    <x v="10"/>
    <x v="2"/>
    <s v="Acquired"/>
  </r>
  <r>
    <x v="13"/>
    <x v="6"/>
    <n v="5"/>
    <n v="169.95"/>
    <n v="720.54"/>
    <n v="17.920000000000002"/>
    <n v="1262"/>
    <n v="4.87"/>
    <x v="0"/>
    <x v="11"/>
    <x v="1"/>
    <s v="Acquired"/>
  </r>
  <r>
    <x v="14"/>
    <x v="5"/>
    <n v="1"/>
    <n v="295.62"/>
    <n v="2960.94"/>
    <n v="3"/>
    <n v="3639"/>
    <n v="6.39"/>
    <x v="1"/>
    <x v="12"/>
    <x v="4"/>
    <s v="Acquired"/>
  </r>
  <r>
    <x v="15"/>
    <x v="4"/>
    <n v="2"/>
    <n v="141.58000000000001"/>
    <n v="1593.98"/>
    <n v="16.77"/>
    <n v="1846"/>
    <n v="1"/>
    <x v="1"/>
    <x v="8"/>
    <x v="2"/>
    <s v="Private"/>
  </r>
  <r>
    <x v="16"/>
    <x v="2"/>
    <n v="2"/>
    <n v="55.04"/>
    <n v="427.58"/>
    <n v="18.21"/>
    <n v="2314"/>
    <n v="0.42"/>
    <x v="0"/>
    <x v="12"/>
    <x v="0"/>
    <s v="Private"/>
  </r>
  <r>
    <x v="17"/>
    <x v="6"/>
    <n v="2"/>
    <n v="145.69"/>
    <n v="1276.06"/>
    <n v="38.83"/>
    <n v="915"/>
    <n v="0.67"/>
    <x v="1"/>
    <x v="13"/>
    <x v="2"/>
    <s v="Private"/>
  </r>
  <r>
    <x v="18"/>
    <x v="2"/>
    <n v="3"/>
    <n v="153.97999999999999"/>
    <n v="1729.44"/>
    <n v="40.29"/>
    <n v="4345"/>
    <n v="4.5"/>
    <x v="0"/>
    <x v="2"/>
    <x v="3"/>
    <s v="Acquired"/>
  </r>
  <r>
    <x v="19"/>
    <x v="5"/>
    <n v="5"/>
    <n v="222.64"/>
    <n v="714.35"/>
    <n v="87.44"/>
    <n v="4642"/>
    <n v="2.83"/>
    <x v="0"/>
    <x v="2"/>
    <x v="0"/>
    <s v="Private"/>
  </r>
  <r>
    <x v="20"/>
    <x v="2"/>
    <n v="5"/>
    <n v="209.8"/>
    <n v="1442.91"/>
    <n v="51.06"/>
    <n v="4014"/>
    <n v="6.26"/>
    <x v="1"/>
    <x v="14"/>
    <x v="3"/>
    <s v="Private"/>
  </r>
  <r>
    <x v="21"/>
    <x v="0"/>
    <n v="1"/>
    <n v="121.06"/>
    <n v="1776.82"/>
    <n v="72.37"/>
    <n v="2174"/>
    <n v="9.93"/>
    <x v="0"/>
    <x v="15"/>
    <x v="0"/>
    <s v="Private"/>
  </r>
  <r>
    <x v="22"/>
    <x v="6"/>
    <n v="1"/>
    <n v="65.8"/>
    <n v="655.46"/>
    <n v="10.5"/>
    <n v="2177"/>
    <n v="3.92"/>
    <x v="0"/>
    <x v="0"/>
    <x v="2"/>
    <s v="Private"/>
  </r>
  <r>
    <x v="23"/>
    <x v="0"/>
    <n v="2"/>
    <n v="193.69"/>
    <n v="1171.96"/>
    <n v="22.62"/>
    <n v="128"/>
    <n v="5.78"/>
    <x v="0"/>
    <x v="1"/>
    <x v="1"/>
    <s v="Private"/>
  </r>
  <r>
    <x v="24"/>
    <x v="5"/>
    <n v="1"/>
    <n v="126.8"/>
    <n v="1174.26"/>
    <n v="70.319999999999993"/>
    <n v="3163"/>
    <n v="4.21"/>
    <x v="0"/>
    <x v="1"/>
    <x v="4"/>
    <s v="Acquired"/>
  </r>
  <r>
    <x v="25"/>
    <x v="0"/>
    <n v="3"/>
    <n v="40.119999999999997"/>
    <n v="285.33"/>
    <n v="5.38"/>
    <n v="790"/>
    <n v="8.49"/>
    <x v="1"/>
    <x v="6"/>
    <x v="3"/>
    <s v="Acquired"/>
  </r>
  <r>
    <x v="26"/>
    <x v="4"/>
    <n v="5"/>
    <n v="270.22000000000003"/>
    <n v="2536.54"/>
    <n v="48.71"/>
    <n v="2421"/>
    <n v="9.0299999999999994"/>
    <x v="1"/>
    <x v="16"/>
    <x v="2"/>
    <s v="Private"/>
  </r>
  <r>
    <x v="27"/>
    <x v="5"/>
    <n v="2"/>
    <n v="207.52"/>
    <n v="935.69"/>
    <n v="59.98"/>
    <n v="801"/>
    <n v="8.7899999999999991"/>
    <x v="1"/>
    <x v="4"/>
    <x v="1"/>
    <s v="IPO"/>
  </r>
  <r>
    <x v="28"/>
    <x v="5"/>
    <n v="1"/>
    <n v="205.11"/>
    <n v="941.98"/>
    <n v="60.25"/>
    <n v="4177"/>
    <n v="9.75"/>
    <x v="1"/>
    <x v="17"/>
    <x v="2"/>
    <s v="Acquired"/>
  </r>
  <r>
    <x v="29"/>
    <x v="5"/>
    <n v="3"/>
    <n v="246.86"/>
    <n v="1165.8"/>
    <n v="2.39"/>
    <n v="4159"/>
    <n v="0.37"/>
    <x v="0"/>
    <x v="0"/>
    <x v="3"/>
    <s v="Acquired"/>
  </r>
  <r>
    <x v="30"/>
    <x v="3"/>
    <n v="3"/>
    <n v="159.13"/>
    <n v="2272.0300000000002"/>
    <n v="32.28"/>
    <n v="1941"/>
    <n v="8.41"/>
    <x v="0"/>
    <x v="17"/>
    <x v="4"/>
    <s v="Acquired"/>
  </r>
  <r>
    <x v="31"/>
    <x v="2"/>
    <n v="1"/>
    <n v="244.61"/>
    <n v="2885.12"/>
    <n v="63.69"/>
    <n v="2161"/>
    <n v="7.54"/>
    <x v="0"/>
    <x v="13"/>
    <x v="2"/>
    <s v="Private"/>
  </r>
  <r>
    <x v="32"/>
    <x v="3"/>
    <n v="5"/>
    <n v="149.68"/>
    <n v="740.7"/>
    <n v="14.99"/>
    <n v="3812"/>
    <n v="2.36"/>
    <x v="0"/>
    <x v="18"/>
    <x v="0"/>
    <s v="Private"/>
  </r>
  <r>
    <x v="33"/>
    <x v="3"/>
    <n v="1"/>
    <n v="20.62"/>
    <n v="108.47"/>
    <n v="69.569999999999993"/>
    <n v="1306"/>
    <n v="9.57"/>
    <x v="0"/>
    <x v="19"/>
    <x v="1"/>
    <s v="Private"/>
  </r>
  <r>
    <x v="34"/>
    <x v="4"/>
    <n v="2"/>
    <n v="121.87"/>
    <n v="1434.4"/>
    <n v="74.62"/>
    <n v="4168"/>
    <n v="1.57"/>
    <x v="1"/>
    <x v="0"/>
    <x v="2"/>
    <s v="Private"/>
  </r>
  <r>
    <x v="35"/>
    <x v="6"/>
    <n v="1"/>
    <n v="149.49"/>
    <n v="728.61"/>
    <n v="98.2"/>
    <n v="3145"/>
    <n v="6.83"/>
    <x v="0"/>
    <x v="16"/>
    <x v="1"/>
    <s v="Private"/>
  </r>
  <r>
    <x v="36"/>
    <x v="2"/>
    <n v="3"/>
    <n v="216.2"/>
    <n v="1257.1500000000001"/>
    <n v="21.06"/>
    <n v="3241"/>
    <n v="2.33"/>
    <x v="0"/>
    <x v="20"/>
    <x v="0"/>
    <s v="Private"/>
  </r>
  <r>
    <x v="37"/>
    <x v="0"/>
    <n v="1"/>
    <n v="32.42"/>
    <n v="472.04"/>
    <n v="82.53"/>
    <n v="2357"/>
    <n v="4.37"/>
    <x v="0"/>
    <x v="18"/>
    <x v="4"/>
    <s v="Private"/>
  </r>
  <r>
    <x v="38"/>
    <x v="1"/>
    <n v="5"/>
    <n v="42.44"/>
    <n v="257.33999999999997"/>
    <n v="52.08"/>
    <n v="1937"/>
    <n v="7.22"/>
    <x v="1"/>
    <x v="6"/>
    <x v="4"/>
    <s v="Private"/>
  </r>
  <r>
    <x v="39"/>
    <x v="5"/>
    <n v="4"/>
    <n v="79.47"/>
    <n v="869.37"/>
    <n v="37.409999999999997"/>
    <n v="2726"/>
    <n v="5.68"/>
    <x v="1"/>
    <x v="2"/>
    <x v="0"/>
    <s v="Acquired"/>
  </r>
  <r>
    <x v="40"/>
    <x v="0"/>
    <n v="1"/>
    <n v="80.319999999999993"/>
    <n v="1184.2"/>
    <n v="12.33"/>
    <n v="369"/>
    <n v="4.33"/>
    <x v="0"/>
    <x v="1"/>
    <x v="1"/>
    <s v="Private"/>
  </r>
  <r>
    <x v="41"/>
    <x v="5"/>
    <n v="5"/>
    <n v="219.79"/>
    <n v="1646.57"/>
    <n v="73.58"/>
    <n v="4921"/>
    <n v="3.33"/>
    <x v="0"/>
    <x v="4"/>
    <x v="2"/>
    <s v="Private"/>
  </r>
  <r>
    <x v="42"/>
    <x v="4"/>
    <n v="5"/>
    <n v="75.59"/>
    <n v="242.66"/>
    <n v="23.66"/>
    <n v="2395"/>
    <n v="8.41"/>
    <x v="1"/>
    <x v="15"/>
    <x v="0"/>
    <s v="Private"/>
  </r>
  <r>
    <x v="43"/>
    <x v="5"/>
    <n v="3"/>
    <n v="190.11"/>
    <n v="1127.31"/>
    <n v="37.21"/>
    <n v="951"/>
    <n v="1.52"/>
    <x v="0"/>
    <x v="21"/>
    <x v="3"/>
    <s v="Private"/>
  </r>
  <r>
    <x v="44"/>
    <x v="3"/>
    <n v="5"/>
    <n v="148.54"/>
    <n v="1926.64"/>
    <n v="6.35"/>
    <n v="1382"/>
    <n v="4.3600000000000003"/>
    <x v="0"/>
    <x v="22"/>
    <x v="1"/>
    <s v="Private"/>
  </r>
  <r>
    <x v="45"/>
    <x v="2"/>
    <n v="5"/>
    <n v="172.2"/>
    <n v="2303.23"/>
    <n v="80.16"/>
    <n v="1444"/>
    <n v="9.0500000000000007"/>
    <x v="1"/>
    <x v="21"/>
    <x v="4"/>
    <s v="Private"/>
  </r>
  <r>
    <x v="46"/>
    <x v="1"/>
    <n v="5"/>
    <n v="251.51"/>
    <n v="3074.01"/>
    <n v="76.680000000000007"/>
    <n v="3185"/>
    <n v="8.4700000000000006"/>
    <x v="1"/>
    <x v="15"/>
    <x v="0"/>
    <s v="IPO"/>
  </r>
  <r>
    <x v="47"/>
    <x v="7"/>
    <n v="5"/>
    <n v="121.61"/>
    <n v="529.89"/>
    <n v="73.39"/>
    <n v="4862"/>
    <n v="4.07"/>
    <x v="0"/>
    <x v="12"/>
    <x v="4"/>
    <s v="Private"/>
  </r>
  <r>
    <x v="48"/>
    <x v="5"/>
    <n v="2"/>
    <n v="231.39"/>
    <n v="2903.05"/>
    <n v="30.01"/>
    <n v="345"/>
    <n v="7.65"/>
    <x v="1"/>
    <x v="22"/>
    <x v="1"/>
    <s v="Private"/>
  </r>
  <r>
    <x v="49"/>
    <x v="0"/>
    <n v="2"/>
    <n v="126.9"/>
    <n v="1779.66"/>
    <n v="17.43"/>
    <n v="2994"/>
    <n v="8.25"/>
    <x v="1"/>
    <x v="18"/>
    <x v="4"/>
    <s v="Private"/>
  </r>
  <r>
    <x v="50"/>
    <x v="3"/>
    <n v="3"/>
    <n v="106.48"/>
    <n v="1086.8699999999999"/>
    <n v="63.79"/>
    <n v="387"/>
    <n v="8.9"/>
    <x v="0"/>
    <x v="23"/>
    <x v="0"/>
    <s v="Acquired"/>
  </r>
  <r>
    <x v="51"/>
    <x v="7"/>
    <n v="1"/>
    <n v="287.61"/>
    <n v="4110.09"/>
    <n v="49.67"/>
    <n v="1561"/>
    <n v="5.49"/>
    <x v="1"/>
    <x v="7"/>
    <x v="1"/>
    <s v="Private"/>
  </r>
  <r>
    <x v="52"/>
    <x v="1"/>
    <n v="5"/>
    <n v="55.72"/>
    <n v="720.02"/>
    <n v="17.91"/>
    <n v="304"/>
    <n v="2.12"/>
    <x v="1"/>
    <x v="24"/>
    <x v="3"/>
    <s v="Private"/>
  </r>
  <r>
    <x v="53"/>
    <x v="7"/>
    <n v="1"/>
    <n v="27.56"/>
    <n v="303.26"/>
    <n v="68.62"/>
    <n v="143"/>
    <n v="2.63"/>
    <x v="1"/>
    <x v="3"/>
    <x v="0"/>
    <s v="Acquired"/>
  </r>
  <r>
    <x v="54"/>
    <x v="3"/>
    <n v="1"/>
    <n v="231.41"/>
    <n v="2297.0300000000002"/>
    <n v="99.11"/>
    <n v="363"/>
    <n v="3.03"/>
    <x v="1"/>
    <x v="19"/>
    <x v="2"/>
    <s v="Private"/>
  </r>
  <r>
    <x v="55"/>
    <x v="2"/>
    <n v="3"/>
    <n v="20.94"/>
    <n v="150.41"/>
    <n v="74.75"/>
    <n v="4936"/>
    <n v="5.98"/>
    <x v="0"/>
    <x v="4"/>
    <x v="0"/>
    <s v="IPO"/>
  </r>
  <r>
    <x v="56"/>
    <x v="2"/>
    <n v="5"/>
    <n v="251.21"/>
    <n v="1233.81"/>
    <n v="74.02"/>
    <n v="1527"/>
    <n v="0.42"/>
    <x v="0"/>
    <x v="7"/>
    <x v="1"/>
    <s v="Private"/>
  </r>
  <r>
    <x v="57"/>
    <x v="6"/>
    <n v="5"/>
    <n v="131.44"/>
    <n v="1348.5"/>
    <n v="95.04"/>
    <n v="3461"/>
    <n v="6.4"/>
    <x v="0"/>
    <x v="25"/>
    <x v="0"/>
    <s v="Private"/>
  </r>
  <r>
    <x v="58"/>
    <x v="2"/>
    <n v="4"/>
    <n v="274.7"/>
    <n v="1872.72"/>
    <n v="20.37"/>
    <n v="1632"/>
    <n v="3.71"/>
    <x v="0"/>
    <x v="23"/>
    <x v="3"/>
    <s v="Private"/>
  </r>
  <r>
    <x v="59"/>
    <x v="6"/>
    <n v="1"/>
    <n v="216.6"/>
    <n v="2901.85"/>
    <n v="56.6"/>
    <n v="1308"/>
    <n v="3.02"/>
    <x v="0"/>
    <x v="3"/>
    <x v="3"/>
    <s v="Acquired"/>
  </r>
  <r>
    <x v="60"/>
    <x v="7"/>
    <n v="1"/>
    <n v="183.32"/>
    <n v="2735.14"/>
    <n v="97.97"/>
    <n v="1139"/>
    <n v="8.81"/>
    <x v="1"/>
    <x v="16"/>
    <x v="2"/>
    <s v="Private"/>
  </r>
  <r>
    <x v="61"/>
    <x v="4"/>
    <n v="2"/>
    <n v="284.82"/>
    <n v="3426.14"/>
    <n v="16.61"/>
    <n v="2191"/>
    <n v="4.6500000000000004"/>
    <x v="1"/>
    <x v="21"/>
    <x v="4"/>
    <s v="IPO"/>
  </r>
  <r>
    <x v="62"/>
    <x v="0"/>
    <n v="4"/>
    <n v="119.3"/>
    <n v="487.43"/>
    <n v="70.06"/>
    <n v="3175"/>
    <n v="1.04"/>
    <x v="1"/>
    <x v="26"/>
    <x v="1"/>
    <s v="IPO"/>
  </r>
  <r>
    <x v="63"/>
    <x v="0"/>
    <n v="2"/>
    <n v="286.25"/>
    <n v="1850.39"/>
    <n v="58.62"/>
    <n v="3840"/>
    <n v="8.2799999999999994"/>
    <x v="1"/>
    <x v="27"/>
    <x v="1"/>
    <s v="Acquired"/>
  </r>
  <r>
    <x v="64"/>
    <x v="7"/>
    <n v="2"/>
    <n v="40.93"/>
    <n v="176.38"/>
    <n v="58.69"/>
    <n v="2156"/>
    <n v="0.56999999999999995"/>
    <x v="1"/>
    <x v="14"/>
    <x v="4"/>
    <s v="Acquired"/>
  </r>
  <r>
    <x v="65"/>
    <x v="5"/>
    <n v="2"/>
    <n v="145.38"/>
    <n v="1571"/>
    <n v="69.8"/>
    <n v="1242"/>
    <n v="7.29"/>
    <x v="0"/>
    <x v="8"/>
    <x v="3"/>
    <s v="Private"/>
  </r>
  <r>
    <x v="66"/>
    <x v="5"/>
    <n v="3"/>
    <n v="81.34"/>
    <n v="990.91"/>
    <n v="92.97"/>
    <n v="3740"/>
    <n v="7.76"/>
    <x v="0"/>
    <x v="28"/>
    <x v="3"/>
    <s v="IPO"/>
  </r>
  <r>
    <x v="67"/>
    <x v="2"/>
    <n v="3"/>
    <n v="162.18"/>
    <n v="2288.0500000000002"/>
    <n v="78.28"/>
    <n v="2839"/>
    <n v="3.59"/>
    <x v="0"/>
    <x v="10"/>
    <x v="0"/>
    <s v="Private"/>
  </r>
  <r>
    <x v="68"/>
    <x v="0"/>
    <n v="2"/>
    <n v="49.02"/>
    <n v="404.81"/>
    <n v="5.71"/>
    <n v="4265"/>
    <n v="8.27"/>
    <x v="1"/>
    <x v="8"/>
    <x v="2"/>
    <s v="Private"/>
  </r>
  <r>
    <x v="69"/>
    <x v="0"/>
    <n v="4"/>
    <n v="252.54"/>
    <n v="3489.22"/>
    <n v="85.29"/>
    <n v="1003"/>
    <n v="5.21"/>
    <x v="0"/>
    <x v="26"/>
    <x v="2"/>
    <s v="Private"/>
  </r>
  <r>
    <x v="70"/>
    <x v="6"/>
    <n v="1"/>
    <n v="254"/>
    <n v="3437.81"/>
    <n v="22.63"/>
    <n v="2572"/>
    <n v="4.6900000000000004"/>
    <x v="1"/>
    <x v="2"/>
    <x v="2"/>
    <s v="Private"/>
  </r>
  <r>
    <x v="71"/>
    <x v="4"/>
    <n v="4"/>
    <n v="286.58999999999997"/>
    <n v="1950.63"/>
    <n v="37.75"/>
    <n v="1312"/>
    <n v="0.55000000000000004"/>
    <x v="0"/>
    <x v="15"/>
    <x v="0"/>
    <s v="Private"/>
  </r>
  <r>
    <x v="72"/>
    <x v="3"/>
    <n v="5"/>
    <n v="46.82"/>
    <n v="628.64"/>
    <n v="46.23"/>
    <n v="661"/>
    <n v="2.97"/>
    <x v="1"/>
    <x v="28"/>
    <x v="2"/>
    <s v="Private"/>
  </r>
  <r>
    <x v="73"/>
    <x v="5"/>
    <n v="3"/>
    <n v="187.19"/>
    <n v="1405.44"/>
    <n v="48.14"/>
    <n v="2665"/>
    <n v="9.32"/>
    <x v="1"/>
    <x v="10"/>
    <x v="4"/>
    <s v="Acquired"/>
  </r>
  <r>
    <x v="74"/>
    <x v="0"/>
    <n v="1"/>
    <n v="142.53"/>
    <n v="935.34"/>
    <n v="43.57"/>
    <n v="2216"/>
    <n v="3.98"/>
    <x v="1"/>
    <x v="2"/>
    <x v="0"/>
    <s v="Private"/>
  </r>
  <r>
    <x v="75"/>
    <x v="6"/>
    <n v="1"/>
    <n v="103.64"/>
    <n v="1118.1600000000001"/>
    <n v="93.74"/>
    <n v="1914"/>
    <n v="5.51"/>
    <x v="1"/>
    <x v="18"/>
    <x v="4"/>
    <s v="Acquired"/>
  </r>
  <r>
    <x v="76"/>
    <x v="1"/>
    <n v="5"/>
    <n v="105.79"/>
    <n v="734.24"/>
    <n v="70.63"/>
    <n v="3735"/>
    <n v="5.37"/>
    <x v="1"/>
    <x v="14"/>
    <x v="0"/>
    <s v="IPO"/>
  </r>
  <r>
    <x v="77"/>
    <x v="6"/>
    <n v="5"/>
    <n v="124.13"/>
    <n v="1311.12"/>
    <n v="63.15"/>
    <n v="2051"/>
    <n v="5.95"/>
    <x v="1"/>
    <x v="4"/>
    <x v="2"/>
    <s v="IPO"/>
  </r>
  <r>
    <x v="78"/>
    <x v="5"/>
    <n v="2"/>
    <n v="211.63"/>
    <n v="2183.59"/>
    <n v="5.08"/>
    <n v="3167"/>
    <n v="0.71"/>
    <x v="1"/>
    <x v="18"/>
    <x v="4"/>
    <s v="Private"/>
  </r>
  <r>
    <x v="79"/>
    <x v="5"/>
    <n v="3"/>
    <n v="179.69"/>
    <n v="1754"/>
    <n v="90.4"/>
    <n v="1145"/>
    <n v="3.69"/>
    <x v="1"/>
    <x v="25"/>
    <x v="4"/>
    <s v="Acquired"/>
  </r>
  <r>
    <x v="80"/>
    <x v="6"/>
    <n v="3"/>
    <n v="138.16999999999999"/>
    <n v="1045.26"/>
    <n v="90.95"/>
    <n v="271"/>
    <n v="7.26"/>
    <x v="1"/>
    <x v="27"/>
    <x v="4"/>
    <s v="Private"/>
  </r>
  <r>
    <x v="81"/>
    <x v="3"/>
    <n v="4"/>
    <n v="23.24"/>
    <n v="222.69"/>
    <n v="78.040000000000006"/>
    <n v="1850"/>
    <n v="2.09"/>
    <x v="0"/>
    <x v="13"/>
    <x v="0"/>
    <s v="Acquired"/>
  </r>
  <r>
    <x v="82"/>
    <x v="7"/>
    <n v="2"/>
    <n v="23.79"/>
    <n v="241.65"/>
    <n v="0.8"/>
    <n v="1713"/>
    <n v="2.12"/>
    <x v="0"/>
    <x v="2"/>
    <x v="1"/>
    <s v="Private"/>
  </r>
  <r>
    <x v="83"/>
    <x v="5"/>
    <n v="2"/>
    <n v="1.2"/>
    <n v="11.46"/>
    <n v="5.82"/>
    <n v="3635"/>
    <n v="0.2"/>
    <x v="0"/>
    <x v="24"/>
    <x v="2"/>
    <s v="Acquired"/>
  </r>
  <r>
    <x v="84"/>
    <x v="6"/>
    <n v="2"/>
    <n v="290.33"/>
    <n v="2419.33"/>
    <n v="22.6"/>
    <n v="3216"/>
    <n v="4.43"/>
    <x v="0"/>
    <x v="29"/>
    <x v="4"/>
    <s v="Acquired"/>
  </r>
  <r>
    <x v="85"/>
    <x v="0"/>
    <n v="2"/>
    <n v="2.0699999999999998"/>
    <n v="6.57"/>
    <n v="13.22"/>
    <n v="2298"/>
    <n v="8.84"/>
    <x v="0"/>
    <x v="0"/>
    <x v="1"/>
    <s v="Private"/>
  </r>
  <r>
    <x v="86"/>
    <x v="6"/>
    <n v="3"/>
    <n v="31.38"/>
    <n v="315.2"/>
    <n v="39.94"/>
    <n v="3737"/>
    <n v="0.61"/>
    <x v="1"/>
    <x v="18"/>
    <x v="2"/>
    <s v="Acquired"/>
  </r>
  <r>
    <x v="87"/>
    <x v="4"/>
    <n v="3"/>
    <n v="94.72"/>
    <n v="475.62"/>
    <n v="92.27"/>
    <n v="3834"/>
    <n v="1.99"/>
    <x v="1"/>
    <x v="15"/>
    <x v="2"/>
    <s v="Private"/>
  </r>
  <r>
    <x v="88"/>
    <x v="7"/>
    <n v="2"/>
    <n v="242.33"/>
    <n v="2595.58"/>
    <n v="47.26"/>
    <n v="1515"/>
    <n v="3.17"/>
    <x v="1"/>
    <x v="15"/>
    <x v="4"/>
    <s v="Private"/>
  </r>
  <r>
    <x v="89"/>
    <x v="1"/>
    <n v="4"/>
    <n v="288.64999999999998"/>
    <n v="3496.17"/>
    <n v="1.44"/>
    <n v="480"/>
    <n v="7.34"/>
    <x v="0"/>
    <x v="0"/>
    <x v="4"/>
    <s v="Acquired"/>
  </r>
  <r>
    <x v="90"/>
    <x v="3"/>
    <n v="1"/>
    <n v="237.11"/>
    <n v="2135.2600000000002"/>
    <n v="28.35"/>
    <n v="981"/>
    <n v="6.44"/>
    <x v="0"/>
    <x v="17"/>
    <x v="0"/>
    <s v="Private"/>
  </r>
  <r>
    <x v="91"/>
    <x v="2"/>
    <n v="1"/>
    <n v="207.32"/>
    <n v="1971.27"/>
    <n v="4.5599999999999996"/>
    <n v="1212"/>
    <n v="4.22"/>
    <x v="0"/>
    <x v="8"/>
    <x v="1"/>
    <s v="IPO"/>
  </r>
  <r>
    <x v="92"/>
    <x v="1"/>
    <n v="4"/>
    <n v="156.63"/>
    <n v="2258.25"/>
    <n v="3.73"/>
    <n v="1965"/>
    <n v="7.61"/>
    <x v="0"/>
    <x v="18"/>
    <x v="1"/>
    <s v="Private"/>
  </r>
  <r>
    <x v="93"/>
    <x v="7"/>
    <n v="2"/>
    <n v="26.47"/>
    <n v="348.5"/>
    <n v="27.64"/>
    <n v="562"/>
    <n v="6.14"/>
    <x v="0"/>
    <x v="9"/>
    <x v="4"/>
    <s v="Acquired"/>
  </r>
  <r>
    <x v="94"/>
    <x v="7"/>
    <n v="3"/>
    <n v="287.47000000000003"/>
    <n v="4016.2"/>
    <n v="27.63"/>
    <n v="887"/>
    <n v="8.9700000000000006"/>
    <x v="0"/>
    <x v="2"/>
    <x v="2"/>
    <s v="Private"/>
  </r>
  <r>
    <x v="95"/>
    <x v="7"/>
    <n v="1"/>
    <n v="227.64"/>
    <n v="2905.87"/>
    <n v="78.73"/>
    <n v="2199"/>
    <n v="8.1999999999999993"/>
    <x v="1"/>
    <x v="9"/>
    <x v="4"/>
    <s v="Acquired"/>
  </r>
  <r>
    <x v="96"/>
    <x v="1"/>
    <n v="5"/>
    <n v="191.87"/>
    <n v="826.39"/>
    <n v="97.49"/>
    <n v="4766"/>
    <n v="2.6"/>
    <x v="1"/>
    <x v="20"/>
    <x v="2"/>
    <s v="Private"/>
  </r>
  <r>
    <x v="97"/>
    <x v="0"/>
    <n v="5"/>
    <n v="227.83"/>
    <n v="1090.83"/>
    <n v="37.18"/>
    <n v="2672"/>
    <n v="2.79"/>
    <x v="0"/>
    <x v="13"/>
    <x v="2"/>
    <s v="Private"/>
  </r>
  <r>
    <x v="98"/>
    <x v="7"/>
    <n v="4"/>
    <n v="217.37"/>
    <n v="2025.78"/>
    <n v="42.95"/>
    <n v="4964"/>
    <n v="1.34"/>
    <x v="0"/>
    <x v="9"/>
    <x v="4"/>
    <s v="Private"/>
  </r>
  <r>
    <x v="99"/>
    <x v="6"/>
    <n v="2"/>
    <n v="191.35"/>
    <n v="1139.08"/>
    <n v="84.49"/>
    <n v="4682"/>
    <n v="3.44"/>
    <x v="0"/>
    <x v="29"/>
    <x v="3"/>
    <s v="Private"/>
  </r>
  <r>
    <x v="100"/>
    <x v="1"/>
    <n v="1"/>
    <n v="294.18"/>
    <n v="2565.35"/>
    <n v="26.89"/>
    <n v="4795"/>
    <n v="10"/>
    <x v="0"/>
    <x v="6"/>
    <x v="1"/>
    <s v="Private"/>
  </r>
  <r>
    <x v="101"/>
    <x v="2"/>
    <n v="2"/>
    <n v="271.06"/>
    <n v="2095.94"/>
    <n v="15.72"/>
    <n v="1615"/>
    <n v="4.12"/>
    <x v="1"/>
    <x v="24"/>
    <x v="2"/>
    <s v="Private"/>
  </r>
  <r>
    <x v="102"/>
    <x v="7"/>
    <n v="1"/>
    <n v="194.18"/>
    <n v="1862.76"/>
    <n v="85.32"/>
    <n v="3493"/>
    <n v="2.2799999999999998"/>
    <x v="0"/>
    <x v="25"/>
    <x v="2"/>
    <s v="Acquired"/>
  </r>
  <r>
    <x v="103"/>
    <x v="6"/>
    <n v="4"/>
    <n v="208.11"/>
    <n v="2489.52"/>
    <n v="4.75"/>
    <n v="2459"/>
    <n v="7.65"/>
    <x v="0"/>
    <x v="30"/>
    <x v="3"/>
    <s v="IPO"/>
  </r>
  <r>
    <x v="104"/>
    <x v="0"/>
    <n v="4"/>
    <n v="15.95"/>
    <n v="184.79"/>
    <n v="62.01"/>
    <n v="4499"/>
    <n v="5.47"/>
    <x v="0"/>
    <x v="10"/>
    <x v="0"/>
    <s v="IPO"/>
  </r>
  <r>
    <x v="105"/>
    <x v="4"/>
    <n v="5"/>
    <n v="201.14"/>
    <n v="1861.51"/>
    <n v="56.24"/>
    <n v="1951"/>
    <n v="1.58"/>
    <x v="0"/>
    <x v="1"/>
    <x v="3"/>
    <s v="Private"/>
  </r>
  <r>
    <x v="106"/>
    <x v="0"/>
    <n v="2"/>
    <n v="13.73"/>
    <n v="176.69"/>
    <n v="34.659999999999997"/>
    <n v="4815"/>
    <n v="3.87"/>
    <x v="1"/>
    <x v="31"/>
    <x v="3"/>
    <s v="Private"/>
  </r>
  <r>
    <x v="107"/>
    <x v="2"/>
    <n v="5"/>
    <n v="176.68"/>
    <n v="1443.54"/>
    <n v="31.59"/>
    <n v="4804"/>
    <n v="4.2"/>
    <x v="1"/>
    <x v="14"/>
    <x v="2"/>
    <s v="Private"/>
  </r>
  <r>
    <x v="108"/>
    <x v="7"/>
    <n v="2"/>
    <n v="299.81"/>
    <n v="4125.5600000000004"/>
    <n v="77.209999999999994"/>
    <n v="2813"/>
    <n v="7.56"/>
    <x v="1"/>
    <x v="25"/>
    <x v="1"/>
    <s v="Acquired"/>
  </r>
  <r>
    <x v="109"/>
    <x v="2"/>
    <n v="5"/>
    <n v="166.96"/>
    <n v="643.69000000000005"/>
    <n v="8.73"/>
    <n v="3830"/>
    <n v="0.3"/>
    <x v="0"/>
    <x v="10"/>
    <x v="3"/>
    <s v="Private"/>
  </r>
  <r>
    <x v="110"/>
    <x v="1"/>
    <n v="3"/>
    <n v="142.22999999999999"/>
    <n v="2056.0700000000002"/>
    <n v="23.75"/>
    <n v="3541"/>
    <n v="2.76"/>
    <x v="0"/>
    <x v="27"/>
    <x v="0"/>
    <s v="Acquired"/>
  </r>
  <r>
    <x v="111"/>
    <x v="5"/>
    <n v="3"/>
    <n v="94.2"/>
    <n v="1022.67"/>
    <n v="73.27"/>
    <n v="3807"/>
    <n v="5.22"/>
    <x v="0"/>
    <x v="17"/>
    <x v="4"/>
    <s v="Private"/>
  </r>
  <r>
    <x v="112"/>
    <x v="7"/>
    <n v="3"/>
    <n v="36.6"/>
    <n v="276.73"/>
    <n v="54.88"/>
    <n v="4182"/>
    <n v="2.76"/>
    <x v="1"/>
    <x v="8"/>
    <x v="3"/>
    <s v="Private"/>
  </r>
  <r>
    <x v="113"/>
    <x v="5"/>
    <n v="3"/>
    <n v="219.44"/>
    <n v="1177.48"/>
    <n v="12.89"/>
    <n v="4704"/>
    <n v="6.32"/>
    <x v="0"/>
    <x v="10"/>
    <x v="3"/>
    <s v="Private"/>
  </r>
  <r>
    <x v="114"/>
    <x v="6"/>
    <n v="1"/>
    <n v="58.18"/>
    <n v="509.09"/>
    <n v="88.23"/>
    <n v="1975"/>
    <n v="4.87"/>
    <x v="0"/>
    <x v="26"/>
    <x v="0"/>
    <s v="Private"/>
  </r>
  <r>
    <x v="115"/>
    <x v="4"/>
    <n v="3"/>
    <n v="35.03"/>
    <n v="186.87"/>
    <n v="39.409999999999997"/>
    <n v="3827"/>
    <n v="3.68"/>
    <x v="1"/>
    <x v="11"/>
    <x v="1"/>
    <s v="Private"/>
  </r>
  <r>
    <x v="116"/>
    <x v="3"/>
    <n v="4"/>
    <n v="126.82"/>
    <n v="633.59"/>
    <n v="82.8"/>
    <n v="2824"/>
    <n v="9.5"/>
    <x v="1"/>
    <x v="22"/>
    <x v="3"/>
    <s v="Acquired"/>
  </r>
  <r>
    <x v="117"/>
    <x v="2"/>
    <n v="4"/>
    <n v="238.7"/>
    <n v="2484.44"/>
    <n v="78.790000000000006"/>
    <n v="907"/>
    <n v="6.36"/>
    <x v="0"/>
    <x v="11"/>
    <x v="3"/>
    <s v="Private"/>
  </r>
  <r>
    <x v="118"/>
    <x v="0"/>
    <n v="1"/>
    <n v="223.65"/>
    <n v="2074.8000000000002"/>
    <n v="62.48"/>
    <n v="369"/>
    <n v="1.39"/>
    <x v="0"/>
    <x v="27"/>
    <x v="1"/>
    <s v="Acquired"/>
  </r>
  <r>
    <x v="119"/>
    <x v="4"/>
    <n v="3"/>
    <n v="16.940000000000001"/>
    <n v="187.04"/>
    <n v="49.5"/>
    <n v="4263"/>
    <n v="5.64"/>
    <x v="0"/>
    <x v="1"/>
    <x v="0"/>
    <s v="Private"/>
  </r>
  <r>
    <x v="120"/>
    <x v="7"/>
    <n v="3"/>
    <n v="136.82"/>
    <n v="1936.72"/>
    <n v="97.96"/>
    <n v="3124"/>
    <n v="7.83"/>
    <x v="1"/>
    <x v="26"/>
    <x v="3"/>
    <s v="Private"/>
  </r>
  <r>
    <x v="121"/>
    <x v="5"/>
    <n v="3"/>
    <n v="156.97"/>
    <n v="1473.5"/>
    <n v="14.58"/>
    <n v="2563"/>
    <n v="7.11"/>
    <x v="0"/>
    <x v="11"/>
    <x v="1"/>
    <s v="Acquired"/>
  </r>
  <r>
    <x v="122"/>
    <x v="0"/>
    <n v="5"/>
    <n v="193.54"/>
    <n v="1929.82"/>
    <n v="72.540000000000006"/>
    <n v="1868"/>
    <n v="1.8"/>
    <x v="1"/>
    <x v="1"/>
    <x v="3"/>
    <s v="IPO"/>
  </r>
  <r>
    <x v="123"/>
    <x v="5"/>
    <n v="2"/>
    <n v="195.23"/>
    <n v="795.66"/>
    <n v="19.2"/>
    <n v="120"/>
    <n v="9.73"/>
    <x v="0"/>
    <x v="27"/>
    <x v="4"/>
    <s v="Private"/>
  </r>
  <r>
    <x v="124"/>
    <x v="1"/>
    <n v="5"/>
    <n v="109.73"/>
    <n v="1274.1400000000001"/>
    <n v="33.89"/>
    <n v="2389"/>
    <n v="4.54"/>
    <x v="1"/>
    <x v="29"/>
    <x v="2"/>
    <s v="Private"/>
  </r>
  <r>
    <x v="125"/>
    <x v="5"/>
    <n v="2"/>
    <n v="168.42"/>
    <n v="1313.48"/>
    <n v="30.94"/>
    <n v="4981"/>
    <n v="1.67"/>
    <x v="1"/>
    <x v="29"/>
    <x v="4"/>
    <s v="Private"/>
  </r>
  <r>
    <x v="126"/>
    <x v="1"/>
    <n v="3"/>
    <n v="144.58000000000001"/>
    <n v="2128.3200000000002"/>
    <n v="94.71"/>
    <n v="3940"/>
    <n v="1.88"/>
    <x v="0"/>
    <x v="32"/>
    <x v="3"/>
    <s v="Acquired"/>
  </r>
  <r>
    <x v="127"/>
    <x v="6"/>
    <n v="3"/>
    <n v="265.56"/>
    <n v="3419.91"/>
    <n v="96.74"/>
    <n v="4940"/>
    <n v="1.07"/>
    <x v="1"/>
    <x v="32"/>
    <x v="0"/>
    <s v="Acquired"/>
  </r>
  <r>
    <x v="128"/>
    <x v="0"/>
    <n v="5"/>
    <n v="159.31"/>
    <n v="1476.77"/>
    <n v="18.38"/>
    <n v="2495"/>
    <n v="8.0500000000000007"/>
    <x v="0"/>
    <x v="9"/>
    <x v="2"/>
    <s v="Private"/>
  </r>
  <r>
    <x v="129"/>
    <x v="0"/>
    <n v="5"/>
    <n v="132.59"/>
    <n v="593.83000000000004"/>
    <n v="2.2999999999999998"/>
    <n v="947"/>
    <n v="1.31"/>
    <x v="1"/>
    <x v="16"/>
    <x v="4"/>
    <s v="Private"/>
  </r>
  <r>
    <x v="130"/>
    <x v="3"/>
    <n v="2"/>
    <n v="121.64"/>
    <n v="1619.39"/>
    <n v="72.03"/>
    <n v="1729"/>
    <n v="1.34"/>
    <x v="1"/>
    <x v="0"/>
    <x v="1"/>
    <s v="Acquired"/>
  </r>
  <r>
    <x v="131"/>
    <x v="7"/>
    <n v="4"/>
    <n v="171.94"/>
    <n v="2165.9899999999998"/>
    <n v="41.86"/>
    <n v="2339"/>
    <n v="8.52"/>
    <x v="0"/>
    <x v="23"/>
    <x v="0"/>
    <s v="Private"/>
  </r>
  <r>
    <x v="132"/>
    <x v="1"/>
    <n v="2"/>
    <n v="241.29"/>
    <n v="1258.33"/>
    <n v="8.98"/>
    <n v="2772"/>
    <n v="3.51"/>
    <x v="1"/>
    <x v="30"/>
    <x v="4"/>
    <s v="Acquired"/>
  </r>
  <r>
    <x v="133"/>
    <x v="3"/>
    <n v="5"/>
    <n v="161.75"/>
    <n v="1058.3900000000001"/>
    <n v="68.41"/>
    <n v="1142"/>
    <n v="0.41"/>
    <x v="1"/>
    <x v="14"/>
    <x v="1"/>
    <s v="Private"/>
  </r>
  <r>
    <x v="134"/>
    <x v="5"/>
    <n v="5"/>
    <n v="198.67"/>
    <n v="2487.52"/>
    <n v="54.56"/>
    <n v="2532"/>
    <n v="0.61"/>
    <x v="0"/>
    <x v="29"/>
    <x v="3"/>
    <s v="Private"/>
  </r>
  <r>
    <x v="135"/>
    <x v="5"/>
    <n v="1"/>
    <n v="221.49"/>
    <n v="1156.78"/>
    <n v="98.05"/>
    <n v="4122"/>
    <n v="1.51"/>
    <x v="0"/>
    <x v="21"/>
    <x v="1"/>
    <s v="Private"/>
  </r>
  <r>
    <x v="136"/>
    <x v="3"/>
    <n v="5"/>
    <n v="156.29"/>
    <n v="2190.1"/>
    <n v="22.82"/>
    <n v="3425"/>
    <n v="2.21"/>
    <x v="1"/>
    <x v="14"/>
    <x v="4"/>
    <s v="Private"/>
  </r>
  <r>
    <x v="137"/>
    <x v="0"/>
    <n v="1"/>
    <n v="128.33000000000001"/>
    <n v="1038.75"/>
    <n v="40.46"/>
    <n v="4783"/>
    <n v="6.68"/>
    <x v="1"/>
    <x v="12"/>
    <x v="4"/>
    <s v="Private"/>
  </r>
  <r>
    <x v="138"/>
    <x v="5"/>
    <n v="4"/>
    <n v="263.06"/>
    <n v="1063.94"/>
    <n v="54.3"/>
    <n v="3911"/>
    <n v="1.66"/>
    <x v="0"/>
    <x v="21"/>
    <x v="3"/>
    <s v="Acquired"/>
  </r>
  <r>
    <x v="139"/>
    <x v="2"/>
    <n v="2"/>
    <n v="125.54"/>
    <n v="1605.53"/>
    <n v="79.19"/>
    <n v="3642"/>
    <n v="1.28"/>
    <x v="0"/>
    <x v="2"/>
    <x v="1"/>
    <s v="Acquired"/>
  </r>
  <r>
    <x v="140"/>
    <x v="6"/>
    <n v="2"/>
    <n v="138.85"/>
    <n v="1038.8900000000001"/>
    <n v="54.93"/>
    <n v="2958"/>
    <n v="7.67"/>
    <x v="0"/>
    <x v="30"/>
    <x v="1"/>
    <s v="Private"/>
  </r>
  <r>
    <x v="141"/>
    <x v="6"/>
    <n v="1"/>
    <n v="297.11"/>
    <n v="2768.47"/>
    <n v="61.33"/>
    <n v="2372"/>
    <n v="6.74"/>
    <x v="0"/>
    <x v="6"/>
    <x v="3"/>
    <s v="Private"/>
  </r>
  <r>
    <x v="142"/>
    <x v="2"/>
    <n v="2"/>
    <n v="0.56999999999999995"/>
    <n v="2.48"/>
    <n v="22.69"/>
    <n v="4226"/>
    <n v="4.41"/>
    <x v="0"/>
    <x v="15"/>
    <x v="1"/>
    <s v="Private"/>
  </r>
  <r>
    <x v="143"/>
    <x v="3"/>
    <n v="5"/>
    <n v="56.05"/>
    <n v="169.89"/>
    <n v="84.71"/>
    <n v="281"/>
    <n v="5.54"/>
    <x v="1"/>
    <x v="23"/>
    <x v="3"/>
    <s v="Private"/>
  </r>
  <r>
    <x v="144"/>
    <x v="2"/>
    <n v="3"/>
    <n v="115.5"/>
    <n v="1230.75"/>
    <n v="42.92"/>
    <n v="2004"/>
    <n v="3.19"/>
    <x v="0"/>
    <x v="12"/>
    <x v="0"/>
    <s v="Private"/>
  </r>
  <r>
    <x v="145"/>
    <x v="1"/>
    <n v="1"/>
    <n v="279.81"/>
    <n v="2569.2399999999998"/>
    <n v="14.18"/>
    <n v="1232"/>
    <n v="4.88"/>
    <x v="1"/>
    <x v="5"/>
    <x v="4"/>
    <s v="Acquired"/>
  </r>
  <r>
    <x v="146"/>
    <x v="1"/>
    <n v="2"/>
    <n v="21.47"/>
    <n v="217.33"/>
    <n v="66.45"/>
    <n v="3757"/>
    <n v="5.12"/>
    <x v="0"/>
    <x v="5"/>
    <x v="0"/>
    <s v="Private"/>
  </r>
  <r>
    <x v="147"/>
    <x v="3"/>
    <n v="1"/>
    <n v="3.34"/>
    <n v="41.83"/>
    <n v="21.69"/>
    <n v="3740"/>
    <n v="3.93"/>
    <x v="0"/>
    <x v="4"/>
    <x v="2"/>
    <s v="Private"/>
  </r>
  <r>
    <x v="148"/>
    <x v="2"/>
    <n v="1"/>
    <n v="16.28"/>
    <n v="175.16"/>
    <n v="9.85"/>
    <n v="700"/>
    <n v="9.08"/>
    <x v="0"/>
    <x v="3"/>
    <x v="2"/>
    <s v="Private"/>
  </r>
  <r>
    <x v="149"/>
    <x v="1"/>
    <n v="3"/>
    <n v="27.02"/>
    <n v="137.72999999999999"/>
    <n v="86.21"/>
    <n v="1314"/>
    <n v="0.26"/>
    <x v="0"/>
    <x v="16"/>
    <x v="2"/>
    <s v="Private"/>
  </r>
  <r>
    <x v="150"/>
    <x v="0"/>
    <n v="5"/>
    <n v="11.76"/>
    <n v="86.19"/>
    <n v="46.07"/>
    <n v="4157"/>
    <n v="7.84"/>
    <x v="1"/>
    <x v="30"/>
    <x v="3"/>
    <s v="Acquired"/>
  </r>
  <r>
    <x v="151"/>
    <x v="2"/>
    <n v="1"/>
    <n v="144.19"/>
    <n v="2000.02"/>
    <n v="74.95"/>
    <n v="3239"/>
    <n v="1.33"/>
    <x v="1"/>
    <x v="6"/>
    <x v="1"/>
    <s v="Private"/>
  </r>
  <r>
    <x v="152"/>
    <x v="0"/>
    <n v="2"/>
    <n v="174.44"/>
    <n v="2135.0300000000002"/>
    <n v="29.13"/>
    <n v="4119"/>
    <n v="8"/>
    <x v="1"/>
    <x v="0"/>
    <x v="0"/>
    <s v="Private"/>
  </r>
  <r>
    <x v="153"/>
    <x v="1"/>
    <n v="4"/>
    <n v="81.87"/>
    <n v="792.47"/>
    <n v="78.72"/>
    <n v="2316"/>
    <n v="6.2"/>
    <x v="1"/>
    <x v="0"/>
    <x v="0"/>
    <s v="Private"/>
  </r>
  <r>
    <x v="154"/>
    <x v="6"/>
    <n v="1"/>
    <n v="119.79"/>
    <n v="726.85"/>
    <n v="11.28"/>
    <n v="2846"/>
    <n v="8.4499999999999993"/>
    <x v="1"/>
    <x v="32"/>
    <x v="0"/>
    <s v="Acquired"/>
  </r>
  <r>
    <x v="155"/>
    <x v="1"/>
    <n v="1"/>
    <n v="27.96"/>
    <n v="185.23"/>
    <n v="35.659999999999997"/>
    <n v="4213"/>
    <n v="1.07"/>
    <x v="0"/>
    <x v="3"/>
    <x v="0"/>
    <s v="Acquired"/>
  </r>
  <r>
    <x v="156"/>
    <x v="0"/>
    <n v="3"/>
    <n v="101.24"/>
    <n v="1192.96"/>
    <n v="97.81"/>
    <n v="3564"/>
    <n v="5.63"/>
    <x v="1"/>
    <x v="8"/>
    <x v="2"/>
    <s v="IPO"/>
  </r>
  <r>
    <x v="157"/>
    <x v="4"/>
    <n v="5"/>
    <n v="156.99"/>
    <n v="2074.48"/>
    <n v="79.42"/>
    <n v="3403"/>
    <n v="5.0599999999999996"/>
    <x v="1"/>
    <x v="12"/>
    <x v="0"/>
    <s v="IPO"/>
  </r>
  <r>
    <x v="158"/>
    <x v="7"/>
    <n v="4"/>
    <n v="219.82"/>
    <n v="2430.5700000000002"/>
    <n v="49.78"/>
    <n v="546"/>
    <n v="7.09"/>
    <x v="0"/>
    <x v="21"/>
    <x v="1"/>
    <s v="Private"/>
  </r>
  <r>
    <x v="159"/>
    <x v="5"/>
    <n v="2"/>
    <n v="1.5"/>
    <n v="19.07"/>
    <n v="34.04"/>
    <n v="2699"/>
    <n v="5.39"/>
    <x v="1"/>
    <x v="22"/>
    <x v="2"/>
    <s v="Private"/>
  </r>
  <r>
    <x v="160"/>
    <x v="2"/>
    <n v="4"/>
    <n v="140.46"/>
    <n v="1713.59"/>
    <n v="87.23"/>
    <n v="4679"/>
    <n v="5.45"/>
    <x v="0"/>
    <x v="28"/>
    <x v="0"/>
    <s v="Private"/>
  </r>
  <r>
    <x v="161"/>
    <x v="4"/>
    <n v="2"/>
    <n v="89.45"/>
    <n v="429.04"/>
    <n v="54.53"/>
    <n v="1093"/>
    <n v="4.3499999999999996"/>
    <x v="0"/>
    <x v="30"/>
    <x v="3"/>
    <s v="Private"/>
  </r>
  <r>
    <x v="162"/>
    <x v="1"/>
    <n v="5"/>
    <n v="255.92"/>
    <n v="2069.71"/>
    <n v="75.87"/>
    <n v="3368"/>
    <n v="3.16"/>
    <x v="1"/>
    <x v="26"/>
    <x v="4"/>
    <s v="Private"/>
  </r>
  <r>
    <x v="163"/>
    <x v="6"/>
    <n v="2"/>
    <n v="214.81"/>
    <n v="1038.78"/>
    <n v="75.44"/>
    <n v="29"/>
    <n v="4.87"/>
    <x v="0"/>
    <x v="10"/>
    <x v="4"/>
    <s v="IPO"/>
  </r>
  <r>
    <x v="164"/>
    <x v="3"/>
    <n v="3"/>
    <n v="176.94"/>
    <n v="1030.29"/>
    <n v="1.89"/>
    <n v="1577"/>
    <n v="1.27"/>
    <x v="0"/>
    <x v="21"/>
    <x v="4"/>
    <s v="Private"/>
  </r>
  <r>
    <x v="165"/>
    <x v="1"/>
    <n v="3"/>
    <n v="83.54"/>
    <n v="1122.04"/>
    <n v="12.71"/>
    <n v="2963"/>
    <n v="9.6199999999999992"/>
    <x v="1"/>
    <x v="1"/>
    <x v="2"/>
    <s v="Private"/>
  </r>
  <r>
    <x v="166"/>
    <x v="6"/>
    <n v="3"/>
    <n v="273.14999999999998"/>
    <n v="2369.5"/>
    <n v="66"/>
    <n v="4241"/>
    <n v="7.17"/>
    <x v="1"/>
    <x v="27"/>
    <x v="0"/>
    <s v="Acquired"/>
  </r>
  <r>
    <x v="167"/>
    <x v="7"/>
    <n v="3"/>
    <n v="14.01"/>
    <n v="132.03"/>
    <n v="16.25"/>
    <n v="1772"/>
    <n v="9.5299999999999994"/>
    <x v="0"/>
    <x v="16"/>
    <x v="2"/>
    <s v="Acquired"/>
  </r>
  <r>
    <x v="168"/>
    <x v="1"/>
    <n v="4"/>
    <n v="33.29"/>
    <n v="171.16"/>
    <n v="25.62"/>
    <n v="4748"/>
    <n v="2.34"/>
    <x v="1"/>
    <x v="28"/>
    <x v="1"/>
    <s v="Private"/>
  </r>
  <r>
    <x v="169"/>
    <x v="0"/>
    <n v="5"/>
    <n v="117.79"/>
    <n v="794.76"/>
    <n v="94.67"/>
    <n v="2240"/>
    <n v="8.81"/>
    <x v="0"/>
    <x v="24"/>
    <x v="3"/>
    <s v="Private"/>
  </r>
  <r>
    <x v="170"/>
    <x v="3"/>
    <n v="2"/>
    <n v="37.770000000000003"/>
    <n v="217.67"/>
    <n v="56.06"/>
    <n v="205"/>
    <n v="8.11"/>
    <x v="0"/>
    <x v="4"/>
    <x v="3"/>
    <s v="Private"/>
  </r>
  <r>
    <x v="171"/>
    <x v="6"/>
    <n v="2"/>
    <n v="286.95"/>
    <n v="1570.83"/>
    <n v="75.099999999999994"/>
    <n v="3203"/>
    <n v="6.8"/>
    <x v="1"/>
    <x v="17"/>
    <x v="4"/>
    <s v="Acquired"/>
  </r>
  <r>
    <x v="172"/>
    <x v="6"/>
    <n v="3"/>
    <n v="239.5"/>
    <n v="2552"/>
    <n v="55.84"/>
    <n v="261"/>
    <n v="6.29"/>
    <x v="1"/>
    <x v="6"/>
    <x v="4"/>
    <s v="Private"/>
  </r>
  <r>
    <x v="173"/>
    <x v="6"/>
    <n v="3"/>
    <n v="78.069999999999993"/>
    <n v="474.87"/>
    <n v="55.3"/>
    <n v="3752"/>
    <n v="3.23"/>
    <x v="0"/>
    <x v="32"/>
    <x v="4"/>
    <s v="Private"/>
  </r>
  <r>
    <x v="174"/>
    <x v="7"/>
    <n v="1"/>
    <n v="176.77"/>
    <n v="1870.97"/>
    <n v="9.51"/>
    <n v="4647"/>
    <n v="8.18"/>
    <x v="1"/>
    <x v="5"/>
    <x v="0"/>
    <s v="Acquired"/>
  </r>
  <r>
    <x v="175"/>
    <x v="1"/>
    <n v="5"/>
    <n v="294.70999999999998"/>
    <n v="1090.8599999999999"/>
    <n v="34.43"/>
    <n v="2246"/>
    <n v="5.07"/>
    <x v="1"/>
    <x v="28"/>
    <x v="1"/>
    <s v="Private"/>
  </r>
  <r>
    <x v="176"/>
    <x v="7"/>
    <n v="4"/>
    <n v="265.32"/>
    <n v="1247.3499999999999"/>
    <n v="28.31"/>
    <n v="3180"/>
    <n v="0.8"/>
    <x v="0"/>
    <x v="13"/>
    <x v="1"/>
    <s v="IPO"/>
  </r>
  <r>
    <x v="177"/>
    <x v="2"/>
    <n v="2"/>
    <n v="180.44"/>
    <n v="1135.78"/>
    <n v="39.130000000000003"/>
    <n v="3611"/>
    <n v="3.2"/>
    <x v="0"/>
    <x v="11"/>
    <x v="1"/>
    <s v="Private"/>
  </r>
  <r>
    <x v="178"/>
    <x v="5"/>
    <n v="1"/>
    <n v="271.17"/>
    <n v="2756.32"/>
    <n v="79.849999999999994"/>
    <n v="3341"/>
    <n v="9.36"/>
    <x v="0"/>
    <x v="2"/>
    <x v="1"/>
    <s v="Acquired"/>
  </r>
  <r>
    <x v="179"/>
    <x v="5"/>
    <n v="1"/>
    <n v="296.76"/>
    <n v="3297.03"/>
    <n v="37.26"/>
    <n v="4902"/>
    <n v="8.52"/>
    <x v="1"/>
    <x v="23"/>
    <x v="4"/>
    <s v="Acquired"/>
  </r>
  <r>
    <x v="180"/>
    <x v="2"/>
    <n v="2"/>
    <n v="223.13"/>
    <n v="1854.79"/>
    <n v="45.22"/>
    <n v="418"/>
    <n v="9.82"/>
    <x v="1"/>
    <x v="9"/>
    <x v="3"/>
    <s v="IPO"/>
  </r>
  <r>
    <x v="181"/>
    <x v="1"/>
    <n v="4"/>
    <n v="19.96"/>
    <n v="166.66"/>
    <n v="39.799999999999997"/>
    <n v="2019"/>
    <n v="6.32"/>
    <x v="1"/>
    <x v="18"/>
    <x v="4"/>
    <s v="Acquired"/>
  </r>
  <r>
    <x v="182"/>
    <x v="0"/>
    <n v="1"/>
    <n v="120.77"/>
    <n v="1412.31"/>
    <n v="9.43"/>
    <n v="1386"/>
    <n v="2.5499999999999998"/>
    <x v="1"/>
    <x v="21"/>
    <x v="1"/>
    <s v="Private"/>
  </r>
  <r>
    <x v="183"/>
    <x v="7"/>
    <n v="1"/>
    <n v="251.43"/>
    <n v="802.02"/>
    <n v="44.16"/>
    <n v="1103"/>
    <n v="1.71"/>
    <x v="1"/>
    <x v="14"/>
    <x v="4"/>
    <s v="Acquired"/>
  </r>
  <r>
    <x v="184"/>
    <x v="3"/>
    <n v="5"/>
    <n v="69.56"/>
    <n v="493.39"/>
    <n v="19.64"/>
    <n v="3431"/>
    <n v="1.95"/>
    <x v="0"/>
    <x v="8"/>
    <x v="1"/>
    <s v="Private"/>
  </r>
  <r>
    <x v="185"/>
    <x v="6"/>
    <n v="4"/>
    <n v="249.28"/>
    <n v="3196.89"/>
    <n v="18.75"/>
    <n v="3660"/>
    <n v="0.3"/>
    <x v="0"/>
    <x v="26"/>
    <x v="2"/>
    <s v="Acquired"/>
  </r>
  <r>
    <x v="186"/>
    <x v="6"/>
    <n v="1"/>
    <n v="36.54"/>
    <n v="374.12"/>
    <n v="9.49"/>
    <n v="914"/>
    <n v="3.97"/>
    <x v="0"/>
    <x v="17"/>
    <x v="3"/>
    <s v="Private"/>
  </r>
  <r>
    <x v="187"/>
    <x v="1"/>
    <n v="4"/>
    <n v="14.56"/>
    <n v="102.6"/>
    <n v="35.729999999999997"/>
    <n v="192"/>
    <n v="2"/>
    <x v="0"/>
    <x v="10"/>
    <x v="2"/>
    <s v="Private"/>
  </r>
  <r>
    <x v="188"/>
    <x v="0"/>
    <n v="2"/>
    <n v="115.54"/>
    <n v="1602.11"/>
    <n v="75.77"/>
    <n v="4049"/>
    <n v="4.18"/>
    <x v="1"/>
    <x v="6"/>
    <x v="0"/>
    <s v="Acquired"/>
  </r>
  <r>
    <x v="189"/>
    <x v="5"/>
    <n v="3"/>
    <n v="11.5"/>
    <n v="141.12"/>
    <n v="27.72"/>
    <n v="3761"/>
    <n v="9.36"/>
    <x v="1"/>
    <x v="28"/>
    <x v="4"/>
    <s v="Private"/>
  </r>
  <r>
    <x v="190"/>
    <x v="5"/>
    <n v="1"/>
    <n v="287.2"/>
    <n v="1774.54"/>
    <n v="31.3"/>
    <n v="2020"/>
    <n v="4.3600000000000003"/>
    <x v="0"/>
    <x v="9"/>
    <x v="0"/>
    <s v="IPO"/>
  </r>
  <r>
    <x v="191"/>
    <x v="6"/>
    <n v="5"/>
    <n v="247.95"/>
    <n v="2663.85"/>
    <n v="64.3"/>
    <n v="2097"/>
    <n v="8.7899999999999991"/>
    <x v="0"/>
    <x v="25"/>
    <x v="4"/>
    <s v="Private"/>
  </r>
  <r>
    <x v="192"/>
    <x v="1"/>
    <n v="2"/>
    <n v="240.33"/>
    <n v="2439.11"/>
    <n v="19.66"/>
    <n v="3649"/>
    <n v="6.09"/>
    <x v="1"/>
    <x v="17"/>
    <x v="2"/>
    <s v="Private"/>
  </r>
  <r>
    <x v="193"/>
    <x v="7"/>
    <n v="4"/>
    <n v="189.12"/>
    <n v="1477.83"/>
    <n v="89.71"/>
    <n v="2135"/>
    <n v="2.5499999999999998"/>
    <x v="0"/>
    <x v="2"/>
    <x v="1"/>
    <s v="Private"/>
  </r>
  <r>
    <x v="194"/>
    <x v="5"/>
    <n v="2"/>
    <n v="65.290000000000006"/>
    <n v="483.37"/>
    <n v="52.07"/>
    <n v="362"/>
    <n v="3.62"/>
    <x v="0"/>
    <x v="4"/>
    <x v="1"/>
    <s v="Private"/>
  </r>
  <r>
    <x v="195"/>
    <x v="7"/>
    <n v="1"/>
    <n v="155.72"/>
    <n v="1109.1500000000001"/>
    <n v="44.82"/>
    <n v="2427"/>
    <n v="0.93"/>
    <x v="0"/>
    <x v="13"/>
    <x v="4"/>
    <s v="Private"/>
  </r>
  <r>
    <x v="196"/>
    <x v="0"/>
    <n v="4"/>
    <n v="179.38"/>
    <n v="1866.6"/>
    <n v="55.83"/>
    <n v="4262"/>
    <n v="3.4"/>
    <x v="0"/>
    <x v="25"/>
    <x v="1"/>
    <s v="Acquired"/>
  </r>
  <r>
    <x v="197"/>
    <x v="5"/>
    <n v="3"/>
    <n v="157.75"/>
    <n v="1310.73"/>
    <n v="16.690000000000001"/>
    <n v="4550"/>
    <n v="6.81"/>
    <x v="1"/>
    <x v="18"/>
    <x v="2"/>
    <s v="Acquired"/>
  </r>
  <r>
    <x v="198"/>
    <x v="5"/>
    <n v="2"/>
    <n v="78.44"/>
    <n v="1018.34"/>
    <n v="61.39"/>
    <n v="1502"/>
    <n v="0.81"/>
    <x v="0"/>
    <x v="15"/>
    <x v="1"/>
    <s v="Private"/>
  </r>
  <r>
    <x v="199"/>
    <x v="4"/>
    <n v="1"/>
    <n v="154.82"/>
    <n v="1708.47"/>
    <n v="36.369999999999997"/>
    <n v="2163"/>
    <n v="2.13"/>
    <x v="0"/>
    <x v="14"/>
    <x v="2"/>
    <s v="Private"/>
  </r>
  <r>
    <x v="200"/>
    <x v="5"/>
    <n v="5"/>
    <n v="147.61000000000001"/>
    <n v="566.70000000000005"/>
    <n v="89.73"/>
    <n v="2560"/>
    <n v="3.88"/>
    <x v="0"/>
    <x v="8"/>
    <x v="0"/>
    <s v="Private"/>
  </r>
  <r>
    <x v="201"/>
    <x v="2"/>
    <n v="4"/>
    <n v="298.89999999999998"/>
    <n v="3192.86"/>
    <n v="16.97"/>
    <n v="2347"/>
    <n v="9.82"/>
    <x v="1"/>
    <x v="13"/>
    <x v="2"/>
    <s v="Private"/>
  </r>
  <r>
    <x v="202"/>
    <x v="3"/>
    <n v="2"/>
    <n v="269.27999999999997"/>
    <n v="1684.01"/>
    <n v="50.75"/>
    <n v="2956"/>
    <n v="7.87"/>
    <x v="0"/>
    <x v="10"/>
    <x v="3"/>
    <s v="Private"/>
  </r>
  <r>
    <x v="203"/>
    <x v="2"/>
    <n v="2"/>
    <n v="139.28"/>
    <n v="1408.64"/>
    <n v="59.85"/>
    <n v="1243"/>
    <n v="7.36"/>
    <x v="0"/>
    <x v="29"/>
    <x v="3"/>
    <s v="Private"/>
  </r>
  <r>
    <x v="204"/>
    <x v="1"/>
    <n v="3"/>
    <n v="187.07"/>
    <n v="2088"/>
    <n v="3.44"/>
    <n v="978"/>
    <n v="1.25"/>
    <x v="0"/>
    <x v="9"/>
    <x v="3"/>
    <s v="Private"/>
  </r>
  <r>
    <x v="205"/>
    <x v="1"/>
    <n v="3"/>
    <n v="224.49"/>
    <n v="1295.3"/>
    <n v="36.43"/>
    <n v="4732"/>
    <n v="7.83"/>
    <x v="0"/>
    <x v="15"/>
    <x v="4"/>
    <s v="Private"/>
  </r>
  <r>
    <x v="206"/>
    <x v="7"/>
    <n v="5"/>
    <n v="10.94"/>
    <n v="92.8"/>
    <n v="73.290000000000006"/>
    <n v="3970"/>
    <n v="7.87"/>
    <x v="0"/>
    <x v="28"/>
    <x v="4"/>
    <s v="Private"/>
  </r>
  <r>
    <x v="207"/>
    <x v="2"/>
    <n v="5"/>
    <n v="268.52999999999997"/>
    <n v="1418.89"/>
    <n v="82.06"/>
    <n v="1055"/>
    <n v="6.05"/>
    <x v="1"/>
    <x v="6"/>
    <x v="4"/>
    <s v="Acquired"/>
  </r>
  <r>
    <x v="208"/>
    <x v="2"/>
    <n v="1"/>
    <n v="258.11"/>
    <n v="936.44"/>
    <n v="31.38"/>
    <n v="3706"/>
    <n v="9.9"/>
    <x v="0"/>
    <x v="25"/>
    <x v="2"/>
    <s v="IPO"/>
  </r>
  <r>
    <x v="209"/>
    <x v="2"/>
    <n v="1"/>
    <n v="137.5"/>
    <n v="1036.99"/>
    <n v="79.88"/>
    <n v="2785"/>
    <n v="3.32"/>
    <x v="0"/>
    <x v="7"/>
    <x v="4"/>
    <s v="Private"/>
  </r>
  <r>
    <x v="210"/>
    <x v="0"/>
    <n v="5"/>
    <n v="117.66"/>
    <n v="865.43"/>
    <n v="96.78"/>
    <n v="1593"/>
    <n v="9.42"/>
    <x v="1"/>
    <x v="16"/>
    <x v="0"/>
    <s v="IPO"/>
  </r>
  <r>
    <x v="211"/>
    <x v="5"/>
    <n v="5"/>
    <n v="82.25"/>
    <n v="1229.29"/>
    <n v="85.7"/>
    <n v="3883"/>
    <n v="9.16"/>
    <x v="0"/>
    <x v="15"/>
    <x v="3"/>
    <s v="Private"/>
  </r>
  <r>
    <x v="212"/>
    <x v="3"/>
    <n v="4"/>
    <n v="143.26"/>
    <n v="1197.1099999999999"/>
    <n v="11.85"/>
    <n v="2373"/>
    <n v="0.21"/>
    <x v="0"/>
    <x v="17"/>
    <x v="2"/>
    <s v="Private"/>
  </r>
  <r>
    <x v="213"/>
    <x v="7"/>
    <n v="3"/>
    <n v="13.79"/>
    <n v="96.57"/>
    <n v="74"/>
    <n v="441"/>
    <n v="4.5599999999999996"/>
    <x v="0"/>
    <x v="26"/>
    <x v="3"/>
    <s v="Private"/>
  </r>
  <r>
    <x v="214"/>
    <x v="2"/>
    <n v="1"/>
    <n v="255.73"/>
    <n v="2548.5300000000002"/>
    <n v="32.03"/>
    <n v="2833"/>
    <n v="9.77"/>
    <x v="1"/>
    <x v="7"/>
    <x v="4"/>
    <s v="Private"/>
  </r>
  <r>
    <x v="215"/>
    <x v="2"/>
    <n v="3"/>
    <n v="11.11"/>
    <n v="45.16"/>
    <n v="98.84"/>
    <n v="1561"/>
    <n v="1.1200000000000001"/>
    <x v="0"/>
    <x v="32"/>
    <x v="2"/>
    <s v="Private"/>
  </r>
  <r>
    <x v="216"/>
    <x v="4"/>
    <n v="3"/>
    <n v="99.05"/>
    <n v="1440.19"/>
    <n v="48.59"/>
    <n v="3863"/>
    <n v="5.52"/>
    <x v="1"/>
    <x v="7"/>
    <x v="1"/>
    <s v="Private"/>
  </r>
  <r>
    <x v="217"/>
    <x v="7"/>
    <n v="5"/>
    <n v="279.51"/>
    <n v="2968.26"/>
    <n v="12.33"/>
    <n v="1309"/>
    <n v="9.7899999999999991"/>
    <x v="1"/>
    <x v="17"/>
    <x v="0"/>
    <s v="Private"/>
  </r>
  <r>
    <x v="218"/>
    <x v="2"/>
    <n v="4"/>
    <n v="220.7"/>
    <n v="2661.21"/>
    <n v="72.55"/>
    <n v="2389"/>
    <n v="5.6"/>
    <x v="0"/>
    <x v="7"/>
    <x v="4"/>
    <s v="Private"/>
  </r>
  <r>
    <x v="219"/>
    <x v="7"/>
    <n v="2"/>
    <n v="84.78"/>
    <n v="427.78"/>
    <n v="32.369999999999997"/>
    <n v="187"/>
    <n v="1.98"/>
    <x v="1"/>
    <x v="18"/>
    <x v="4"/>
    <s v="Private"/>
  </r>
  <r>
    <x v="220"/>
    <x v="5"/>
    <n v="4"/>
    <n v="76.17"/>
    <n v="602.79"/>
    <n v="99.71"/>
    <n v="1594"/>
    <n v="5.86"/>
    <x v="0"/>
    <x v="23"/>
    <x v="0"/>
    <s v="Private"/>
  </r>
  <r>
    <x v="221"/>
    <x v="4"/>
    <n v="4"/>
    <n v="2.02"/>
    <n v="16.309999999999999"/>
    <n v="97.98"/>
    <n v="1592"/>
    <n v="2.12"/>
    <x v="0"/>
    <x v="27"/>
    <x v="0"/>
    <s v="Private"/>
  </r>
  <r>
    <x v="222"/>
    <x v="7"/>
    <n v="3"/>
    <n v="208.87"/>
    <n v="2686.42"/>
    <n v="65.650000000000006"/>
    <n v="664"/>
    <n v="5.25"/>
    <x v="1"/>
    <x v="23"/>
    <x v="1"/>
    <s v="Private"/>
  </r>
  <r>
    <x v="223"/>
    <x v="3"/>
    <n v="4"/>
    <n v="15.11"/>
    <n v="45.55"/>
    <n v="13.07"/>
    <n v="164"/>
    <n v="0.83"/>
    <x v="1"/>
    <x v="23"/>
    <x v="4"/>
    <s v="Private"/>
  </r>
  <r>
    <x v="224"/>
    <x v="3"/>
    <n v="1"/>
    <n v="160.01"/>
    <n v="1057.7"/>
    <n v="68.72"/>
    <n v="3958"/>
    <n v="6.09"/>
    <x v="1"/>
    <x v="19"/>
    <x v="4"/>
    <s v="Private"/>
  </r>
  <r>
    <x v="225"/>
    <x v="1"/>
    <n v="3"/>
    <n v="288.66000000000003"/>
    <n v="4264.8999999999996"/>
    <n v="9.39"/>
    <n v="1016"/>
    <n v="5.22"/>
    <x v="0"/>
    <x v="0"/>
    <x v="3"/>
    <s v="Private"/>
  </r>
  <r>
    <x v="226"/>
    <x v="4"/>
    <n v="1"/>
    <n v="33.29"/>
    <n v="289.58"/>
    <n v="3.03"/>
    <n v="57"/>
    <n v="7.43"/>
    <x v="0"/>
    <x v="18"/>
    <x v="2"/>
    <s v="Private"/>
  </r>
  <r>
    <x v="227"/>
    <x v="4"/>
    <n v="2"/>
    <n v="268.39999999999998"/>
    <n v="2037.24"/>
    <n v="82.31"/>
    <n v="2312"/>
    <n v="6.34"/>
    <x v="1"/>
    <x v="21"/>
    <x v="2"/>
    <s v="Private"/>
  </r>
  <r>
    <x v="228"/>
    <x v="1"/>
    <n v="3"/>
    <n v="297.45"/>
    <n v="1320.07"/>
    <n v="21.05"/>
    <n v="1233"/>
    <n v="5.54"/>
    <x v="0"/>
    <x v="21"/>
    <x v="3"/>
    <s v="Private"/>
  </r>
  <r>
    <x v="229"/>
    <x v="7"/>
    <n v="2"/>
    <n v="18.920000000000002"/>
    <n v="277.93"/>
    <n v="37.96"/>
    <n v="1040"/>
    <n v="6.93"/>
    <x v="0"/>
    <x v="7"/>
    <x v="2"/>
    <s v="Private"/>
  </r>
  <r>
    <x v="230"/>
    <x v="4"/>
    <n v="3"/>
    <n v="264.93"/>
    <n v="858.46"/>
    <n v="97.35"/>
    <n v="3707"/>
    <n v="1.53"/>
    <x v="0"/>
    <x v="19"/>
    <x v="0"/>
    <s v="Private"/>
  </r>
  <r>
    <x v="231"/>
    <x v="3"/>
    <n v="5"/>
    <n v="155.07"/>
    <n v="1836.98"/>
    <n v="33.75"/>
    <n v="4050"/>
    <n v="5.99"/>
    <x v="0"/>
    <x v="20"/>
    <x v="2"/>
    <s v="Private"/>
  </r>
  <r>
    <x v="232"/>
    <x v="3"/>
    <n v="4"/>
    <n v="272"/>
    <n v="3324.71"/>
    <n v="29.72"/>
    <n v="4950"/>
    <n v="1.8"/>
    <x v="1"/>
    <x v="29"/>
    <x v="2"/>
    <s v="Private"/>
  </r>
  <r>
    <x v="233"/>
    <x v="2"/>
    <n v="5"/>
    <n v="171.61"/>
    <n v="1016.6"/>
    <n v="91.83"/>
    <n v="4454"/>
    <n v="9.26"/>
    <x v="0"/>
    <x v="32"/>
    <x v="3"/>
    <s v="Private"/>
  </r>
  <r>
    <x v="234"/>
    <x v="5"/>
    <n v="2"/>
    <n v="198.8"/>
    <n v="2198.4699999999998"/>
    <n v="11.16"/>
    <n v="1269"/>
    <n v="0.78"/>
    <x v="1"/>
    <x v="15"/>
    <x v="1"/>
    <s v="Acquired"/>
  </r>
  <r>
    <x v="235"/>
    <x v="4"/>
    <n v="4"/>
    <n v="163.36000000000001"/>
    <n v="672.25"/>
    <n v="75.98"/>
    <n v="1889"/>
    <n v="4.3600000000000003"/>
    <x v="0"/>
    <x v="16"/>
    <x v="2"/>
    <s v="Private"/>
  </r>
  <r>
    <x v="236"/>
    <x v="7"/>
    <n v="3"/>
    <n v="259.42"/>
    <n v="1578.46"/>
    <n v="98.81"/>
    <n v="1814"/>
    <n v="6.99"/>
    <x v="1"/>
    <x v="12"/>
    <x v="2"/>
    <s v="Private"/>
  </r>
  <r>
    <x v="237"/>
    <x v="1"/>
    <n v="4"/>
    <n v="220.31"/>
    <n v="2743.92"/>
    <n v="90.14"/>
    <n v="3172"/>
    <n v="4.63"/>
    <x v="0"/>
    <x v="30"/>
    <x v="1"/>
    <s v="Private"/>
  </r>
  <r>
    <x v="238"/>
    <x v="1"/>
    <n v="1"/>
    <n v="156.62"/>
    <n v="2094.9899999999998"/>
    <n v="65.2"/>
    <n v="3802"/>
    <n v="1.01"/>
    <x v="0"/>
    <x v="7"/>
    <x v="3"/>
    <s v="Private"/>
  </r>
  <r>
    <x v="239"/>
    <x v="7"/>
    <n v="4"/>
    <n v="260.51"/>
    <n v="2683.73"/>
    <n v="31.47"/>
    <n v="2346"/>
    <n v="5.58"/>
    <x v="0"/>
    <x v="0"/>
    <x v="1"/>
    <s v="Private"/>
  </r>
  <r>
    <x v="240"/>
    <x v="0"/>
    <n v="1"/>
    <n v="73.959999999999994"/>
    <n v="671.71"/>
    <n v="25.51"/>
    <n v="3419"/>
    <n v="6.45"/>
    <x v="0"/>
    <x v="31"/>
    <x v="3"/>
    <s v="Private"/>
  </r>
  <r>
    <x v="241"/>
    <x v="6"/>
    <n v="4"/>
    <n v="47.62"/>
    <n v="233.89"/>
    <n v="81.94"/>
    <n v="822"/>
    <n v="7.07"/>
    <x v="0"/>
    <x v="29"/>
    <x v="0"/>
    <s v="Acquired"/>
  </r>
  <r>
    <x v="242"/>
    <x v="5"/>
    <n v="1"/>
    <n v="48.54"/>
    <n v="182.38"/>
    <n v="87.99"/>
    <n v="2442"/>
    <n v="3.8"/>
    <x v="1"/>
    <x v="22"/>
    <x v="3"/>
    <s v="Private"/>
  </r>
  <r>
    <x v="243"/>
    <x v="1"/>
    <n v="2"/>
    <n v="100.54"/>
    <n v="443.56"/>
    <n v="52.59"/>
    <n v="893"/>
    <n v="5.68"/>
    <x v="1"/>
    <x v="18"/>
    <x v="0"/>
    <s v="Private"/>
  </r>
  <r>
    <x v="244"/>
    <x v="4"/>
    <n v="5"/>
    <n v="71.989999999999995"/>
    <n v="412.38"/>
    <n v="24.51"/>
    <n v="672"/>
    <n v="4.5599999999999996"/>
    <x v="0"/>
    <x v="20"/>
    <x v="0"/>
    <s v="IPO"/>
  </r>
  <r>
    <x v="245"/>
    <x v="5"/>
    <n v="3"/>
    <n v="279.06"/>
    <n v="1981.35"/>
    <n v="11.38"/>
    <n v="4733"/>
    <n v="6.75"/>
    <x v="0"/>
    <x v="22"/>
    <x v="3"/>
    <s v="IPO"/>
  </r>
  <r>
    <x v="246"/>
    <x v="4"/>
    <n v="4"/>
    <n v="32.200000000000003"/>
    <n v="243.78"/>
    <n v="8.81"/>
    <n v="2629"/>
    <n v="5.88"/>
    <x v="0"/>
    <x v="16"/>
    <x v="4"/>
    <s v="Private"/>
  </r>
  <r>
    <x v="247"/>
    <x v="0"/>
    <n v="5"/>
    <n v="209.85"/>
    <n v="1501.66"/>
    <n v="71.94"/>
    <n v="4237"/>
    <n v="5.3"/>
    <x v="0"/>
    <x v="23"/>
    <x v="3"/>
    <s v="Private"/>
  </r>
  <r>
    <x v="248"/>
    <x v="3"/>
    <n v="3"/>
    <n v="57.17"/>
    <n v="335.51"/>
    <n v="42.07"/>
    <n v="4528"/>
    <n v="2.57"/>
    <x v="1"/>
    <x v="19"/>
    <x v="2"/>
    <s v="IPO"/>
  </r>
  <r>
    <x v="249"/>
    <x v="5"/>
    <n v="3"/>
    <n v="264.55"/>
    <n v="2411.8200000000002"/>
    <n v="90.55"/>
    <n v="823"/>
    <n v="0.12"/>
    <x v="1"/>
    <x v="15"/>
    <x v="2"/>
    <s v="Private"/>
  </r>
  <r>
    <x v="250"/>
    <x v="2"/>
    <n v="1"/>
    <n v="288.41000000000003"/>
    <n v="3721.48"/>
    <n v="73.989999999999995"/>
    <n v="2193"/>
    <n v="1.82"/>
    <x v="0"/>
    <x v="17"/>
    <x v="4"/>
    <s v="Private"/>
  </r>
  <r>
    <x v="251"/>
    <x v="1"/>
    <n v="2"/>
    <n v="139.91"/>
    <n v="889.33"/>
    <n v="19.21"/>
    <n v="1111"/>
    <n v="1.26"/>
    <x v="0"/>
    <x v="12"/>
    <x v="0"/>
    <s v="Private"/>
  </r>
  <r>
    <x v="252"/>
    <x v="5"/>
    <n v="2"/>
    <n v="263.77999999999997"/>
    <n v="3774.33"/>
    <n v="61.42"/>
    <n v="2229"/>
    <n v="4.55"/>
    <x v="0"/>
    <x v="29"/>
    <x v="4"/>
    <s v="Private"/>
  </r>
  <r>
    <x v="253"/>
    <x v="5"/>
    <n v="5"/>
    <n v="2.04"/>
    <n v="27.5"/>
    <n v="43.61"/>
    <n v="202"/>
    <n v="6.16"/>
    <x v="1"/>
    <x v="29"/>
    <x v="2"/>
    <s v="Private"/>
  </r>
  <r>
    <x v="254"/>
    <x v="5"/>
    <n v="2"/>
    <n v="246.07"/>
    <n v="1215.8699999999999"/>
    <n v="57.77"/>
    <n v="2676"/>
    <n v="2.21"/>
    <x v="0"/>
    <x v="24"/>
    <x v="4"/>
    <s v="Private"/>
  </r>
  <r>
    <x v="255"/>
    <x v="6"/>
    <n v="4"/>
    <n v="68.97"/>
    <n v="857.66"/>
    <n v="73.83"/>
    <n v="3497"/>
    <n v="9.4"/>
    <x v="1"/>
    <x v="30"/>
    <x v="3"/>
    <s v="Private"/>
  </r>
  <r>
    <x v="256"/>
    <x v="5"/>
    <n v="2"/>
    <n v="272.66000000000003"/>
    <n v="2697.98"/>
    <n v="80.64"/>
    <n v="2453"/>
    <n v="0.17"/>
    <x v="1"/>
    <x v="24"/>
    <x v="4"/>
    <s v="Private"/>
  </r>
  <r>
    <x v="257"/>
    <x v="4"/>
    <n v="5"/>
    <n v="0.84"/>
    <n v="8.23"/>
    <n v="84.39"/>
    <n v="475"/>
    <n v="7.75"/>
    <x v="0"/>
    <x v="5"/>
    <x v="0"/>
    <s v="IPO"/>
  </r>
  <r>
    <x v="258"/>
    <x v="3"/>
    <n v="2"/>
    <n v="167.08"/>
    <n v="1285.27"/>
    <n v="25.47"/>
    <n v="1953"/>
    <n v="6.29"/>
    <x v="1"/>
    <x v="23"/>
    <x v="3"/>
    <s v="Private"/>
  </r>
  <r>
    <x v="259"/>
    <x v="0"/>
    <n v="4"/>
    <n v="227.11"/>
    <n v="2047.13"/>
    <n v="3.21"/>
    <n v="3904"/>
    <n v="3.8"/>
    <x v="0"/>
    <x v="21"/>
    <x v="1"/>
    <s v="Acquired"/>
  </r>
  <r>
    <x v="260"/>
    <x v="7"/>
    <n v="1"/>
    <n v="77.98"/>
    <n v="605.6"/>
    <n v="73.959999999999994"/>
    <n v="2015"/>
    <n v="0.6"/>
    <x v="1"/>
    <x v="23"/>
    <x v="2"/>
    <s v="IPO"/>
  </r>
  <r>
    <x v="261"/>
    <x v="5"/>
    <n v="5"/>
    <n v="58.34"/>
    <n v="552.88"/>
    <n v="10.72"/>
    <n v="3805"/>
    <n v="6.31"/>
    <x v="0"/>
    <x v="26"/>
    <x v="2"/>
    <s v="Acquired"/>
  </r>
  <r>
    <x v="262"/>
    <x v="1"/>
    <n v="1"/>
    <n v="25.69"/>
    <n v="270.64999999999998"/>
    <n v="31.56"/>
    <n v="4123"/>
    <n v="3.92"/>
    <x v="0"/>
    <x v="13"/>
    <x v="4"/>
    <s v="Acquired"/>
  </r>
  <r>
    <x v="263"/>
    <x v="5"/>
    <n v="1"/>
    <n v="98.27"/>
    <n v="1089.98"/>
    <n v="0.48"/>
    <n v="3801"/>
    <n v="9.3699999999999992"/>
    <x v="1"/>
    <x v="22"/>
    <x v="3"/>
    <s v="Private"/>
  </r>
  <r>
    <x v="264"/>
    <x v="1"/>
    <n v="1"/>
    <n v="168.17"/>
    <n v="1579.08"/>
    <n v="68.2"/>
    <n v="3993"/>
    <n v="5.47"/>
    <x v="1"/>
    <x v="11"/>
    <x v="1"/>
    <s v="IPO"/>
  </r>
  <r>
    <x v="265"/>
    <x v="4"/>
    <n v="3"/>
    <n v="35.200000000000003"/>
    <n v="410.33"/>
    <n v="16.8"/>
    <n v="239"/>
    <n v="9.4"/>
    <x v="1"/>
    <x v="18"/>
    <x v="3"/>
    <s v="Private"/>
  </r>
  <r>
    <x v="266"/>
    <x v="1"/>
    <n v="3"/>
    <n v="113.32"/>
    <n v="532.08000000000004"/>
    <n v="65.56"/>
    <n v="933"/>
    <n v="2.2799999999999998"/>
    <x v="0"/>
    <x v="27"/>
    <x v="2"/>
    <s v="Private"/>
  </r>
  <r>
    <x v="267"/>
    <x v="2"/>
    <n v="1"/>
    <n v="3.22"/>
    <n v="17.850000000000001"/>
    <n v="99.18"/>
    <n v="3612"/>
    <n v="7.28"/>
    <x v="1"/>
    <x v="31"/>
    <x v="3"/>
    <s v="Private"/>
  </r>
  <r>
    <x v="268"/>
    <x v="7"/>
    <n v="5"/>
    <n v="245.69"/>
    <n v="3150.93"/>
    <n v="7.36"/>
    <n v="527"/>
    <n v="6.21"/>
    <x v="0"/>
    <x v="6"/>
    <x v="1"/>
    <s v="Acquired"/>
  </r>
  <r>
    <x v="269"/>
    <x v="3"/>
    <n v="4"/>
    <n v="38.97"/>
    <n v="267.74"/>
    <n v="7.8"/>
    <n v="3528"/>
    <n v="7.42"/>
    <x v="1"/>
    <x v="21"/>
    <x v="4"/>
    <s v="Private"/>
  </r>
  <r>
    <x v="270"/>
    <x v="1"/>
    <n v="4"/>
    <n v="85.36"/>
    <n v="279.52999999999997"/>
    <n v="34.1"/>
    <n v="4531"/>
    <n v="2.23"/>
    <x v="0"/>
    <x v="9"/>
    <x v="0"/>
    <s v="Private"/>
  </r>
  <r>
    <x v="271"/>
    <x v="1"/>
    <n v="2"/>
    <n v="6.02"/>
    <n v="29.17"/>
    <n v="86.65"/>
    <n v="4893"/>
    <n v="6.68"/>
    <x v="1"/>
    <x v="13"/>
    <x v="3"/>
    <s v="Private"/>
  </r>
  <r>
    <x v="272"/>
    <x v="3"/>
    <n v="5"/>
    <n v="129.96"/>
    <n v="738.61"/>
    <n v="21.63"/>
    <n v="1634"/>
    <n v="5.03"/>
    <x v="1"/>
    <x v="5"/>
    <x v="0"/>
    <s v="Private"/>
  </r>
  <r>
    <x v="273"/>
    <x v="7"/>
    <n v="3"/>
    <n v="252.12"/>
    <n v="3652.68"/>
    <n v="36.1"/>
    <n v="4633"/>
    <n v="7.45"/>
    <x v="1"/>
    <x v="21"/>
    <x v="2"/>
    <s v="Private"/>
  </r>
  <r>
    <x v="274"/>
    <x v="5"/>
    <n v="1"/>
    <n v="117.95"/>
    <n v="1164.93"/>
    <n v="6.94"/>
    <n v="1321"/>
    <n v="3.34"/>
    <x v="0"/>
    <x v="18"/>
    <x v="4"/>
    <s v="Private"/>
  </r>
  <r>
    <x v="275"/>
    <x v="1"/>
    <n v="2"/>
    <n v="54.26"/>
    <n v="770.1"/>
    <n v="76.34"/>
    <n v="2862"/>
    <n v="8.91"/>
    <x v="0"/>
    <x v="12"/>
    <x v="4"/>
    <s v="Private"/>
  </r>
  <r>
    <x v="276"/>
    <x v="3"/>
    <n v="4"/>
    <n v="226.23"/>
    <n v="2240.12"/>
    <n v="40.89"/>
    <n v="1129"/>
    <n v="0.93"/>
    <x v="1"/>
    <x v="11"/>
    <x v="3"/>
    <s v="Private"/>
  </r>
  <r>
    <x v="277"/>
    <x v="2"/>
    <n v="3"/>
    <n v="236.75"/>
    <n v="2072.1"/>
    <n v="75.95"/>
    <n v="2592"/>
    <n v="8.09"/>
    <x v="0"/>
    <x v="23"/>
    <x v="4"/>
    <s v="Acquired"/>
  </r>
  <r>
    <x v="278"/>
    <x v="2"/>
    <n v="3"/>
    <n v="52.54"/>
    <n v="355.42"/>
    <n v="90.37"/>
    <n v="1028"/>
    <n v="8.6300000000000008"/>
    <x v="1"/>
    <x v="30"/>
    <x v="3"/>
    <s v="Private"/>
  </r>
  <r>
    <x v="279"/>
    <x v="4"/>
    <n v="1"/>
    <n v="231.37"/>
    <n v="2377.66"/>
    <n v="23.35"/>
    <n v="1383"/>
    <n v="8.19"/>
    <x v="0"/>
    <x v="25"/>
    <x v="3"/>
    <s v="Acquired"/>
  </r>
  <r>
    <x v="280"/>
    <x v="3"/>
    <n v="4"/>
    <n v="284.22000000000003"/>
    <n v="1327.41"/>
    <n v="80.760000000000005"/>
    <n v="3379"/>
    <n v="5.18"/>
    <x v="0"/>
    <x v="30"/>
    <x v="0"/>
    <s v="Private"/>
  </r>
  <r>
    <x v="281"/>
    <x v="4"/>
    <n v="5"/>
    <n v="50.33"/>
    <n v="693.5"/>
    <n v="6"/>
    <n v="1524"/>
    <n v="4.4400000000000004"/>
    <x v="1"/>
    <x v="12"/>
    <x v="4"/>
    <s v="Private"/>
  </r>
  <r>
    <x v="282"/>
    <x v="2"/>
    <n v="3"/>
    <n v="231.41"/>
    <n v="2997.22"/>
    <n v="89.89"/>
    <n v="231"/>
    <n v="9.9600000000000009"/>
    <x v="1"/>
    <x v="25"/>
    <x v="3"/>
    <s v="Private"/>
  </r>
  <r>
    <x v="283"/>
    <x v="7"/>
    <n v="1"/>
    <n v="212.72"/>
    <n v="1448.7"/>
    <n v="65.11"/>
    <n v="4973"/>
    <n v="2.37"/>
    <x v="0"/>
    <x v="27"/>
    <x v="0"/>
    <s v="Private"/>
  </r>
  <r>
    <x v="284"/>
    <x v="5"/>
    <n v="5"/>
    <n v="142.34"/>
    <n v="2054.4699999999998"/>
    <n v="87.44"/>
    <n v="896"/>
    <n v="5.51"/>
    <x v="0"/>
    <x v="18"/>
    <x v="1"/>
    <s v="Private"/>
  </r>
  <r>
    <x v="285"/>
    <x v="3"/>
    <n v="4"/>
    <n v="17.850000000000001"/>
    <n v="230.31"/>
    <n v="0.12"/>
    <n v="4077"/>
    <n v="6.74"/>
    <x v="0"/>
    <x v="13"/>
    <x v="0"/>
    <s v="Private"/>
  </r>
  <r>
    <x v="286"/>
    <x v="0"/>
    <n v="3"/>
    <n v="22.87"/>
    <n v="251.47"/>
    <n v="16.989999999999998"/>
    <n v="2262"/>
    <n v="7.04"/>
    <x v="1"/>
    <x v="23"/>
    <x v="0"/>
    <s v="Private"/>
  </r>
  <r>
    <x v="287"/>
    <x v="2"/>
    <n v="5"/>
    <n v="255.8"/>
    <n v="1141.1600000000001"/>
    <n v="39.04"/>
    <n v="2793"/>
    <n v="2.12"/>
    <x v="0"/>
    <x v="20"/>
    <x v="3"/>
    <s v="Private"/>
  </r>
  <r>
    <x v="288"/>
    <x v="2"/>
    <n v="5"/>
    <n v="297.05"/>
    <n v="2595.86"/>
    <n v="38.01"/>
    <n v="401"/>
    <n v="6.57"/>
    <x v="1"/>
    <x v="19"/>
    <x v="2"/>
    <s v="Acquired"/>
  </r>
  <r>
    <x v="289"/>
    <x v="0"/>
    <n v="5"/>
    <n v="202.98"/>
    <n v="1841.7"/>
    <n v="22.75"/>
    <n v="2083"/>
    <n v="8.1999999999999993"/>
    <x v="1"/>
    <x v="5"/>
    <x v="2"/>
    <s v="Private"/>
  </r>
  <r>
    <x v="290"/>
    <x v="6"/>
    <n v="3"/>
    <n v="134.06"/>
    <n v="776.29"/>
    <n v="38.22"/>
    <n v="4749"/>
    <n v="0.6"/>
    <x v="0"/>
    <x v="23"/>
    <x v="2"/>
    <s v="Private"/>
  </r>
  <r>
    <x v="291"/>
    <x v="2"/>
    <n v="3"/>
    <n v="194.45"/>
    <n v="769.94"/>
    <n v="12.97"/>
    <n v="4429"/>
    <n v="9.1199999999999992"/>
    <x v="1"/>
    <x v="7"/>
    <x v="0"/>
    <s v="Acquired"/>
  </r>
  <r>
    <x v="292"/>
    <x v="1"/>
    <n v="2"/>
    <n v="178.52"/>
    <n v="2199.4899999999998"/>
    <n v="41.33"/>
    <n v="3242"/>
    <n v="0.39"/>
    <x v="0"/>
    <x v="1"/>
    <x v="3"/>
    <s v="Private"/>
  </r>
  <r>
    <x v="293"/>
    <x v="7"/>
    <n v="4"/>
    <n v="115.39"/>
    <n v="515.15"/>
    <n v="80.260000000000005"/>
    <n v="3898"/>
    <n v="3.62"/>
    <x v="0"/>
    <x v="23"/>
    <x v="4"/>
    <s v="Acquired"/>
  </r>
  <r>
    <x v="294"/>
    <x v="3"/>
    <n v="1"/>
    <n v="20.16"/>
    <n v="204.25"/>
    <n v="47.96"/>
    <n v="2010"/>
    <n v="0.26"/>
    <x v="1"/>
    <x v="28"/>
    <x v="0"/>
    <s v="Private"/>
  </r>
  <r>
    <x v="295"/>
    <x v="0"/>
    <n v="5"/>
    <n v="246.54"/>
    <n v="3510.09"/>
    <n v="1.9"/>
    <n v="2021"/>
    <n v="0.86"/>
    <x v="0"/>
    <x v="4"/>
    <x v="0"/>
    <s v="Private"/>
  </r>
  <r>
    <x v="296"/>
    <x v="1"/>
    <n v="2"/>
    <n v="111.86"/>
    <n v="1511.59"/>
    <n v="42.2"/>
    <n v="3176"/>
    <n v="9.1199999999999992"/>
    <x v="0"/>
    <x v="30"/>
    <x v="3"/>
    <s v="Private"/>
  </r>
  <r>
    <x v="297"/>
    <x v="0"/>
    <n v="1"/>
    <n v="245.73"/>
    <n v="1556.22"/>
    <n v="2.81"/>
    <n v="2673"/>
    <n v="3.61"/>
    <x v="0"/>
    <x v="22"/>
    <x v="1"/>
    <s v="Acquired"/>
  </r>
  <r>
    <x v="298"/>
    <x v="3"/>
    <n v="2"/>
    <n v="76.13"/>
    <n v="1006.24"/>
    <n v="96.63"/>
    <n v="1883"/>
    <n v="4.3099999999999996"/>
    <x v="0"/>
    <x v="13"/>
    <x v="0"/>
    <s v="IPO"/>
  </r>
  <r>
    <x v="299"/>
    <x v="4"/>
    <n v="3"/>
    <n v="0.81"/>
    <n v="2.4300000000000002"/>
    <n v="12.83"/>
    <n v="1201"/>
    <n v="2.23"/>
    <x v="0"/>
    <x v="19"/>
    <x v="1"/>
    <s v="Acquired"/>
  </r>
  <r>
    <x v="300"/>
    <x v="3"/>
    <n v="5"/>
    <n v="48.1"/>
    <n v="154.51"/>
    <n v="70.8"/>
    <n v="1777"/>
    <n v="6.01"/>
    <x v="1"/>
    <x v="32"/>
    <x v="1"/>
    <s v="Private"/>
  </r>
  <r>
    <x v="301"/>
    <x v="6"/>
    <n v="1"/>
    <n v="140.83000000000001"/>
    <n v="1440.78"/>
    <n v="97.28"/>
    <n v="166"/>
    <n v="5.99"/>
    <x v="1"/>
    <x v="27"/>
    <x v="2"/>
    <s v="Private"/>
  </r>
  <r>
    <x v="302"/>
    <x v="3"/>
    <n v="1"/>
    <n v="283.32"/>
    <n v="2090.2199999999998"/>
    <n v="82.62"/>
    <n v="3981"/>
    <n v="3.78"/>
    <x v="1"/>
    <x v="1"/>
    <x v="3"/>
    <s v="Private"/>
  </r>
  <r>
    <x v="303"/>
    <x v="3"/>
    <n v="1"/>
    <n v="31.11"/>
    <n v="237.6"/>
    <n v="69.959999999999994"/>
    <n v="1756"/>
    <n v="3.4"/>
    <x v="0"/>
    <x v="14"/>
    <x v="1"/>
    <s v="Private"/>
  </r>
  <r>
    <x v="304"/>
    <x v="6"/>
    <n v="1"/>
    <n v="256.33999999999997"/>
    <n v="2505.29"/>
    <n v="83.96"/>
    <n v="780"/>
    <n v="8.86"/>
    <x v="0"/>
    <x v="19"/>
    <x v="3"/>
    <s v="Private"/>
  </r>
  <r>
    <x v="305"/>
    <x v="7"/>
    <n v="1"/>
    <n v="158.34"/>
    <n v="839.42"/>
    <n v="98.18"/>
    <n v="944"/>
    <n v="3.89"/>
    <x v="0"/>
    <x v="1"/>
    <x v="2"/>
    <s v="Private"/>
  </r>
  <r>
    <x v="306"/>
    <x v="2"/>
    <n v="2"/>
    <n v="247.86"/>
    <n v="1373.41"/>
    <n v="62.17"/>
    <n v="3225"/>
    <n v="4.99"/>
    <x v="0"/>
    <x v="30"/>
    <x v="3"/>
    <s v="Private"/>
  </r>
  <r>
    <x v="307"/>
    <x v="3"/>
    <n v="5"/>
    <n v="89.86"/>
    <n v="792.14"/>
    <n v="55.96"/>
    <n v="544"/>
    <n v="2.9"/>
    <x v="0"/>
    <x v="9"/>
    <x v="0"/>
    <s v="Private"/>
  </r>
  <r>
    <x v="308"/>
    <x v="6"/>
    <n v="3"/>
    <n v="252.06"/>
    <n v="3037.59"/>
    <n v="62.86"/>
    <n v="4922"/>
    <n v="7.89"/>
    <x v="0"/>
    <x v="2"/>
    <x v="1"/>
    <s v="Private"/>
  </r>
  <r>
    <x v="309"/>
    <x v="1"/>
    <n v="3"/>
    <n v="231.96"/>
    <n v="2420.2600000000002"/>
    <n v="53.31"/>
    <n v="1466"/>
    <n v="4.03"/>
    <x v="0"/>
    <x v="9"/>
    <x v="3"/>
    <s v="IPO"/>
  </r>
  <r>
    <x v="310"/>
    <x v="4"/>
    <n v="3"/>
    <n v="69.400000000000006"/>
    <n v="455.84"/>
    <n v="63.55"/>
    <n v="360"/>
    <n v="5.18"/>
    <x v="0"/>
    <x v="1"/>
    <x v="4"/>
    <s v="Acquired"/>
  </r>
  <r>
    <x v="311"/>
    <x v="4"/>
    <n v="3"/>
    <n v="39.83"/>
    <n v="325.17"/>
    <n v="45.04"/>
    <n v="3609"/>
    <n v="2.61"/>
    <x v="1"/>
    <x v="21"/>
    <x v="3"/>
    <s v="Private"/>
  </r>
  <r>
    <x v="312"/>
    <x v="3"/>
    <n v="2"/>
    <n v="260.48"/>
    <n v="1314.9"/>
    <n v="21.92"/>
    <n v="3328"/>
    <n v="9.8800000000000008"/>
    <x v="1"/>
    <x v="11"/>
    <x v="1"/>
    <s v="Acquired"/>
  </r>
  <r>
    <x v="313"/>
    <x v="7"/>
    <n v="4"/>
    <n v="288.99"/>
    <n v="1125.78"/>
    <n v="12.11"/>
    <n v="239"/>
    <n v="2.99"/>
    <x v="1"/>
    <x v="18"/>
    <x v="2"/>
    <s v="Private"/>
  </r>
  <r>
    <x v="314"/>
    <x v="7"/>
    <n v="5"/>
    <n v="9.8800000000000008"/>
    <n v="122.44"/>
    <n v="6.93"/>
    <n v="1553"/>
    <n v="7.73"/>
    <x v="1"/>
    <x v="31"/>
    <x v="2"/>
    <s v="Private"/>
  </r>
  <r>
    <x v="315"/>
    <x v="1"/>
    <n v="1"/>
    <n v="219.52"/>
    <n v="1357.65"/>
    <n v="26.41"/>
    <n v="2101"/>
    <n v="4.33"/>
    <x v="1"/>
    <x v="13"/>
    <x v="1"/>
    <s v="Private"/>
  </r>
  <r>
    <x v="316"/>
    <x v="3"/>
    <n v="4"/>
    <n v="272.89999999999998"/>
    <n v="1400.85"/>
    <n v="4.71"/>
    <n v="4218"/>
    <n v="2.14"/>
    <x v="0"/>
    <x v="14"/>
    <x v="0"/>
    <s v="Private"/>
  </r>
  <r>
    <x v="317"/>
    <x v="4"/>
    <n v="3"/>
    <n v="257.27999999999997"/>
    <n v="2907.11"/>
    <n v="56.76"/>
    <n v="2106"/>
    <n v="8.02"/>
    <x v="0"/>
    <x v="24"/>
    <x v="0"/>
    <s v="Acquired"/>
  </r>
  <r>
    <x v="318"/>
    <x v="7"/>
    <n v="4"/>
    <n v="289.37"/>
    <n v="3014.26"/>
    <n v="28.45"/>
    <n v="1678"/>
    <n v="3.4"/>
    <x v="1"/>
    <x v="10"/>
    <x v="2"/>
    <s v="Private"/>
  </r>
  <r>
    <x v="319"/>
    <x v="3"/>
    <n v="5"/>
    <n v="228.15"/>
    <n v="2418"/>
    <n v="82.47"/>
    <n v="2105"/>
    <n v="8.67"/>
    <x v="1"/>
    <x v="18"/>
    <x v="2"/>
    <s v="Private"/>
  </r>
  <r>
    <x v="320"/>
    <x v="0"/>
    <n v="1"/>
    <n v="132.97"/>
    <n v="764.14"/>
    <n v="7.52"/>
    <n v="3662"/>
    <n v="9.16"/>
    <x v="1"/>
    <x v="21"/>
    <x v="1"/>
    <s v="Private"/>
  </r>
  <r>
    <x v="321"/>
    <x v="7"/>
    <n v="1"/>
    <n v="93.93"/>
    <n v="544.02"/>
    <n v="22.71"/>
    <n v="4658"/>
    <n v="8.61"/>
    <x v="1"/>
    <x v="8"/>
    <x v="0"/>
    <s v="Private"/>
  </r>
  <r>
    <x v="322"/>
    <x v="6"/>
    <n v="5"/>
    <n v="96.56"/>
    <n v="545.53"/>
    <n v="73.05"/>
    <n v="3601"/>
    <n v="0.45"/>
    <x v="0"/>
    <x v="15"/>
    <x v="2"/>
    <s v="Private"/>
  </r>
  <r>
    <x v="323"/>
    <x v="0"/>
    <n v="5"/>
    <n v="217.46"/>
    <n v="1105.79"/>
    <n v="59.92"/>
    <n v="3753"/>
    <n v="7.89"/>
    <x v="1"/>
    <x v="32"/>
    <x v="0"/>
    <s v="Private"/>
  </r>
  <r>
    <x v="324"/>
    <x v="2"/>
    <n v="3"/>
    <n v="223.88"/>
    <n v="2433.2800000000002"/>
    <n v="6.54"/>
    <n v="3178"/>
    <n v="4.17"/>
    <x v="1"/>
    <x v="1"/>
    <x v="2"/>
    <s v="Private"/>
  </r>
  <r>
    <x v="325"/>
    <x v="7"/>
    <n v="1"/>
    <n v="60.51"/>
    <n v="797.29"/>
    <n v="87.74"/>
    <n v="1820"/>
    <n v="8.75"/>
    <x v="0"/>
    <x v="7"/>
    <x v="3"/>
    <s v="Acquired"/>
  </r>
  <r>
    <x v="326"/>
    <x v="4"/>
    <n v="4"/>
    <n v="260.5"/>
    <n v="3045.72"/>
    <n v="87.74"/>
    <n v="3846"/>
    <n v="6.42"/>
    <x v="1"/>
    <x v="1"/>
    <x v="4"/>
    <s v="Private"/>
  </r>
  <r>
    <x v="327"/>
    <x v="5"/>
    <n v="2"/>
    <n v="214.62"/>
    <n v="2683.85"/>
    <n v="33.11"/>
    <n v="2010"/>
    <n v="8.35"/>
    <x v="0"/>
    <x v="2"/>
    <x v="3"/>
    <s v="Private"/>
  </r>
  <r>
    <x v="328"/>
    <x v="0"/>
    <n v="2"/>
    <n v="169.04"/>
    <n v="1328.25"/>
    <n v="34.11"/>
    <n v="4498"/>
    <n v="5.04"/>
    <x v="1"/>
    <x v="30"/>
    <x v="2"/>
    <s v="Private"/>
  </r>
  <r>
    <x v="329"/>
    <x v="2"/>
    <n v="5"/>
    <n v="141.72"/>
    <n v="1537.51"/>
    <n v="98.9"/>
    <n v="679"/>
    <n v="5.4"/>
    <x v="1"/>
    <x v="21"/>
    <x v="4"/>
    <s v="Private"/>
  </r>
  <r>
    <x v="330"/>
    <x v="1"/>
    <n v="3"/>
    <n v="163.19999999999999"/>
    <n v="1183.3399999999999"/>
    <n v="62.65"/>
    <n v="391"/>
    <n v="1.53"/>
    <x v="0"/>
    <x v="0"/>
    <x v="4"/>
    <s v="Private"/>
  </r>
  <r>
    <x v="331"/>
    <x v="1"/>
    <n v="2"/>
    <n v="48.19"/>
    <n v="448.46"/>
    <n v="53.18"/>
    <n v="2163"/>
    <n v="7.86"/>
    <x v="1"/>
    <x v="10"/>
    <x v="2"/>
    <s v="Private"/>
  </r>
  <r>
    <x v="332"/>
    <x v="4"/>
    <n v="1"/>
    <n v="61.51"/>
    <n v="540.03"/>
    <n v="83.83"/>
    <n v="2666"/>
    <n v="4.25"/>
    <x v="0"/>
    <x v="1"/>
    <x v="2"/>
    <s v="Private"/>
  </r>
  <r>
    <x v="333"/>
    <x v="7"/>
    <n v="5"/>
    <n v="27.8"/>
    <n v="142.41"/>
    <n v="28.6"/>
    <n v="2069"/>
    <n v="5.05"/>
    <x v="1"/>
    <x v="16"/>
    <x v="0"/>
    <s v="Acquired"/>
  </r>
  <r>
    <x v="334"/>
    <x v="3"/>
    <n v="4"/>
    <n v="46.52"/>
    <n v="355.64"/>
    <n v="42.98"/>
    <n v="3856"/>
    <n v="7.87"/>
    <x v="0"/>
    <x v="18"/>
    <x v="2"/>
    <s v="Private"/>
  </r>
  <r>
    <x v="335"/>
    <x v="7"/>
    <n v="5"/>
    <n v="136.38"/>
    <n v="1986.49"/>
    <n v="26.85"/>
    <n v="3258"/>
    <n v="6.03"/>
    <x v="1"/>
    <x v="4"/>
    <x v="1"/>
    <s v="Acquired"/>
  </r>
  <r>
    <x v="336"/>
    <x v="4"/>
    <n v="4"/>
    <n v="159.34"/>
    <n v="953.33"/>
    <n v="78.94"/>
    <n v="4984"/>
    <n v="2.09"/>
    <x v="0"/>
    <x v="0"/>
    <x v="2"/>
    <s v="Acquired"/>
  </r>
  <r>
    <x v="337"/>
    <x v="1"/>
    <n v="5"/>
    <n v="5.85"/>
    <n v="26.94"/>
    <n v="57.38"/>
    <n v="4641"/>
    <n v="5.94"/>
    <x v="1"/>
    <x v="8"/>
    <x v="1"/>
    <s v="Private"/>
  </r>
  <r>
    <x v="338"/>
    <x v="7"/>
    <n v="5"/>
    <n v="239.14"/>
    <n v="1918.61"/>
    <n v="65.92"/>
    <n v="4271"/>
    <n v="4.1399999999999997"/>
    <x v="0"/>
    <x v="5"/>
    <x v="2"/>
    <s v="Private"/>
  </r>
  <r>
    <x v="339"/>
    <x v="1"/>
    <n v="5"/>
    <n v="88.6"/>
    <n v="1106.0899999999999"/>
    <n v="25.31"/>
    <n v="744"/>
    <n v="4.75"/>
    <x v="1"/>
    <x v="10"/>
    <x v="0"/>
    <s v="Private"/>
  </r>
  <r>
    <x v="340"/>
    <x v="0"/>
    <n v="4"/>
    <n v="273.58999999999997"/>
    <n v="2732.01"/>
    <n v="22.1"/>
    <n v="1406"/>
    <n v="0.38"/>
    <x v="1"/>
    <x v="1"/>
    <x v="1"/>
    <s v="IPO"/>
  </r>
  <r>
    <x v="341"/>
    <x v="2"/>
    <n v="4"/>
    <n v="290.27"/>
    <n v="3242.81"/>
    <n v="48.89"/>
    <n v="3264"/>
    <n v="2.1800000000000002"/>
    <x v="1"/>
    <x v="4"/>
    <x v="3"/>
    <s v="Private"/>
  </r>
  <r>
    <x v="342"/>
    <x v="3"/>
    <n v="5"/>
    <n v="56.04"/>
    <n v="295.69"/>
    <n v="73.78"/>
    <n v="2282"/>
    <n v="2.88"/>
    <x v="1"/>
    <x v="31"/>
    <x v="1"/>
    <s v="Private"/>
  </r>
  <r>
    <x v="343"/>
    <x v="0"/>
    <n v="2"/>
    <n v="138.9"/>
    <n v="1448.36"/>
    <n v="52.57"/>
    <n v="3909"/>
    <n v="7.16"/>
    <x v="1"/>
    <x v="7"/>
    <x v="0"/>
    <s v="Private"/>
  </r>
  <r>
    <x v="344"/>
    <x v="1"/>
    <n v="3"/>
    <n v="0.87"/>
    <n v="5.99"/>
    <n v="3.36"/>
    <n v="3928"/>
    <n v="0.21"/>
    <x v="0"/>
    <x v="0"/>
    <x v="1"/>
    <s v="Private"/>
  </r>
  <r>
    <x v="345"/>
    <x v="1"/>
    <n v="3"/>
    <n v="179.7"/>
    <n v="2338.19"/>
    <n v="86.87"/>
    <n v="4219"/>
    <n v="4.1500000000000004"/>
    <x v="0"/>
    <x v="22"/>
    <x v="2"/>
    <s v="Private"/>
  </r>
  <r>
    <x v="346"/>
    <x v="5"/>
    <n v="3"/>
    <n v="182.39"/>
    <n v="1924.5"/>
    <n v="6.56"/>
    <n v="3232"/>
    <n v="9.25"/>
    <x v="0"/>
    <x v="17"/>
    <x v="2"/>
    <s v="Private"/>
  </r>
  <r>
    <x v="347"/>
    <x v="5"/>
    <n v="4"/>
    <n v="74.64"/>
    <n v="402.03"/>
    <n v="95.59"/>
    <n v="2836"/>
    <n v="1.21"/>
    <x v="1"/>
    <x v="10"/>
    <x v="0"/>
    <s v="Private"/>
  </r>
  <r>
    <x v="348"/>
    <x v="0"/>
    <n v="4"/>
    <n v="167.74"/>
    <n v="633.29"/>
    <n v="2.61"/>
    <n v="3763"/>
    <n v="5.21"/>
    <x v="1"/>
    <x v="18"/>
    <x v="4"/>
    <s v="Acquired"/>
  </r>
  <r>
    <x v="349"/>
    <x v="6"/>
    <n v="2"/>
    <n v="68.05"/>
    <n v="238.96"/>
    <n v="69.48"/>
    <n v="2517"/>
    <n v="7.89"/>
    <x v="0"/>
    <x v="6"/>
    <x v="2"/>
    <s v="Private"/>
  </r>
  <r>
    <x v="350"/>
    <x v="0"/>
    <n v="3"/>
    <n v="48.67"/>
    <n v="362.93"/>
    <n v="8.31"/>
    <n v="2156"/>
    <n v="9.43"/>
    <x v="1"/>
    <x v="13"/>
    <x v="3"/>
    <s v="Private"/>
  </r>
  <r>
    <x v="351"/>
    <x v="5"/>
    <n v="3"/>
    <n v="195.63"/>
    <n v="1210.99"/>
    <n v="91.08"/>
    <n v="3680"/>
    <n v="7.49"/>
    <x v="1"/>
    <x v="8"/>
    <x v="0"/>
    <s v="Private"/>
  </r>
  <r>
    <x v="352"/>
    <x v="1"/>
    <n v="5"/>
    <n v="98.11"/>
    <n v="1054.98"/>
    <n v="46.5"/>
    <n v="2750"/>
    <n v="7.23"/>
    <x v="1"/>
    <x v="25"/>
    <x v="1"/>
    <s v="Acquired"/>
  </r>
  <r>
    <x v="353"/>
    <x v="4"/>
    <n v="4"/>
    <n v="177.28"/>
    <n v="1594.1"/>
    <n v="13.84"/>
    <n v="3871"/>
    <n v="8.2799999999999994"/>
    <x v="0"/>
    <x v="28"/>
    <x v="1"/>
    <s v="Private"/>
  </r>
  <r>
    <x v="354"/>
    <x v="0"/>
    <n v="3"/>
    <n v="130.26"/>
    <n v="806.6"/>
    <n v="34.15"/>
    <n v="3769"/>
    <n v="4.5199999999999996"/>
    <x v="0"/>
    <x v="2"/>
    <x v="3"/>
    <s v="Private"/>
  </r>
  <r>
    <x v="355"/>
    <x v="1"/>
    <n v="2"/>
    <n v="295.31"/>
    <n v="1414.79"/>
    <n v="16.57"/>
    <n v="2227"/>
    <n v="8.08"/>
    <x v="0"/>
    <x v="11"/>
    <x v="2"/>
    <s v="Private"/>
  </r>
  <r>
    <x v="356"/>
    <x v="4"/>
    <n v="2"/>
    <n v="45.3"/>
    <n v="205.05"/>
    <n v="17.14"/>
    <n v="2797"/>
    <n v="0.18"/>
    <x v="1"/>
    <x v="7"/>
    <x v="0"/>
    <s v="Acquired"/>
  </r>
  <r>
    <x v="357"/>
    <x v="4"/>
    <n v="3"/>
    <n v="139.65"/>
    <n v="1867.95"/>
    <n v="94.82"/>
    <n v="1702"/>
    <n v="9.25"/>
    <x v="0"/>
    <x v="9"/>
    <x v="3"/>
    <s v="Private"/>
  </r>
  <r>
    <x v="358"/>
    <x v="5"/>
    <n v="4"/>
    <n v="204.3"/>
    <n v="1209.81"/>
    <n v="44.58"/>
    <n v="3467"/>
    <n v="4.49"/>
    <x v="0"/>
    <x v="23"/>
    <x v="2"/>
    <s v="Private"/>
  </r>
  <r>
    <x v="359"/>
    <x v="0"/>
    <n v="2"/>
    <n v="118.97"/>
    <n v="1287.32"/>
    <n v="78.900000000000006"/>
    <n v="4068"/>
    <n v="5.58"/>
    <x v="1"/>
    <x v="8"/>
    <x v="0"/>
    <s v="Private"/>
  </r>
  <r>
    <x v="360"/>
    <x v="7"/>
    <n v="5"/>
    <n v="292.42"/>
    <n v="3721.99"/>
    <n v="64"/>
    <n v="1529"/>
    <n v="2.62"/>
    <x v="1"/>
    <x v="5"/>
    <x v="1"/>
    <s v="IPO"/>
  </r>
  <r>
    <x v="361"/>
    <x v="3"/>
    <n v="2"/>
    <n v="216.71"/>
    <n v="2247.06"/>
    <n v="67.67"/>
    <n v="4765"/>
    <n v="7.45"/>
    <x v="1"/>
    <x v="11"/>
    <x v="0"/>
    <s v="Private"/>
  </r>
  <r>
    <x v="362"/>
    <x v="5"/>
    <n v="1"/>
    <n v="197.27"/>
    <n v="2626.61"/>
    <n v="13.26"/>
    <n v="37"/>
    <n v="0.86"/>
    <x v="0"/>
    <x v="3"/>
    <x v="4"/>
    <s v="Private"/>
  </r>
  <r>
    <x v="363"/>
    <x v="5"/>
    <n v="1"/>
    <n v="227.24"/>
    <n v="1751.73"/>
    <n v="23.5"/>
    <n v="4030"/>
    <n v="8.74"/>
    <x v="0"/>
    <x v="20"/>
    <x v="0"/>
    <s v="Acquired"/>
  </r>
  <r>
    <x v="364"/>
    <x v="7"/>
    <n v="4"/>
    <n v="285.82"/>
    <n v="4137.1499999999996"/>
    <n v="78.7"/>
    <n v="2571"/>
    <n v="8.3000000000000007"/>
    <x v="1"/>
    <x v="13"/>
    <x v="4"/>
    <s v="Acquired"/>
  </r>
  <r>
    <x v="365"/>
    <x v="3"/>
    <n v="3"/>
    <n v="272.39"/>
    <n v="1252.3800000000001"/>
    <n v="97.08"/>
    <n v="2808"/>
    <n v="2.2400000000000002"/>
    <x v="0"/>
    <x v="10"/>
    <x v="0"/>
    <s v="Private"/>
  </r>
  <r>
    <x v="366"/>
    <x v="1"/>
    <n v="4"/>
    <n v="217.42"/>
    <n v="918.77"/>
    <n v="26.34"/>
    <n v="3901"/>
    <n v="8.11"/>
    <x v="0"/>
    <x v="18"/>
    <x v="4"/>
    <s v="IPO"/>
  </r>
  <r>
    <x v="367"/>
    <x v="6"/>
    <n v="4"/>
    <n v="224.87"/>
    <n v="2452.0500000000002"/>
    <n v="27.23"/>
    <n v="3714"/>
    <n v="7.88"/>
    <x v="0"/>
    <x v="29"/>
    <x v="1"/>
    <s v="Acquired"/>
  </r>
  <r>
    <x v="368"/>
    <x v="0"/>
    <n v="4"/>
    <n v="44.2"/>
    <n v="632.67999999999995"/>
    <n v="47.34"/>
    <n v="724"/>
    <n v="6.36"/>
    <x v="0"/>
    <x v="19"/>
    <x v="2"/>
    <s v="Private"/>
  </r>
  <r>
    <x v="369"/>
    <x v="6"/>
    <n v="4"/>
    <n v="31.29"/>
    <n v="397.59"/>
    <n v="98.39"/>
    <n v="4584"/>
    <n v="3.8"/>
    <x v="0"/>
    <x v="29"/>
    <x v="4"/>
    <s v="Private"/>
  </r>
  <r>
    <x v="370"/>
    <x v="1"/>
    <n v="5"/>
    <n v="171.49"/>
    <n v="671.73"/>
    <n v="26.97"/>
    <n v="977"/>
    <n v="2.79"/>
    <x v="0"/>
    <x v="28"/>
    <x v="4"/>
    <s v="Acquired"/>
  </r>
  <r>
    <x v="371"/>
    <x v="2"/>
    <n v="5"/>
    <n v="6"/>
    <n v="38.11"/>
    <n v="40.76"/>
    <n v="3723"/>
    <n v="2.39"/>
    <x v="0"/>
    <x v="12"/>
    <x v="1"/>
    <s v="Private"/>
  </r>
  <r>
    <x v="372"/>
    <x v="5"/>
    <n v="2"/>
    <n v="144.97"/>
    <n v="2053.33"/>
    <n v="89.16"/>
    <n v="4407"/>
    <n v="3.25"/>
    <x v="0"/>
    <x v="21"/>
    <x v="4"/>
    <s v="Acquired"/>
  </r>
  <r>
    <x v="373"/>
    <x v="3"/>
    <n v="1"/>
    <n v="63.5"/>
    <n v="383.33"/>
    <n v="0.39"/>
    <n v="4557"/>
    <n v="9.0500000000000007"/>
    <x v="1"/>
    <x v="13"/>
    <x v="3"/>
    <s v="Acquired"/>
  </r>
  <r>
    <x v="374"/>
    <x v="5"/>
    <n v="4"/>
    <n v="104.13"/>
    <n v="1288.51"/>
    <n v="4.07"/>
    <n v="2212"/>
    <n v="0.87"/>
    <x v="0"/>
    <x v="24"/>
    <x v="1"/>
    <s v="Acquired"/>
  </r>
  <r>
    <x v="375"/>
    <x v="4"/>
    <n v="2"/>
    <n v="232.85"/>
    <n v="3004.13"/>
    <n v="60.45"/>
    <n v="4431"/>
    <n v="8.31"/>
    <x v="1"/>
    <x v="20"/>
    <x v="3"/>
    <s v="Private"/>
  </r>
  <r>
    <x v="376"/>
    <x v="5"/>
    <n v="1"/>
    <n v="282.39999999999998"/>
    <n v="2526.19"/>
    <n v="90.75"/>
    <n v="4325"/>
    <n v="3.55"/>
    <x v="0"/>
    <x v="20"/>
    <x v="1"/>
    <s v="Acquired"/>
  </r>
  <r>
    <x v="377"/>
    <x v="5"/>
    <n v="3"/>
    <n v="22.19"/>
    <n v="169.45"/>
    <n v="23.96"/>
    <n v="3035"/>
    <n v="5.26"/>
    <x v="0"/>
    <x v="0"/>
    <x v="4"/>
    <s v="Acquired"/>
  </r>
  <r>
    <x v="378"/>
    <x v="1"/>
    <n v="5"/>
    <n v="160.51"/>
    <n v="1348.52"/>
    <n v="47.02"/>
    <n v="3580"/>
    <n v="7.97"/>
    <x v="1"/>
    <x v="23"/>
    <x v="3"/>
    <s v="Private"/>
  </r>
  <r>
    <x v="379"/>
    <x v="1"/>
    <n v="1"/>
    <n v="264.82"/>
    <n v="1515.72"/>
    <n v="45.1"/>
    <n v="3121"/>
    <n v="8.86"/>
    <x v="0"/>
    <x v="28"/>
    <x v="4"/>
    <s v="Private"/>
  </r>
  <r>
    <x v="380"/>
    <x v="1"/>
    <n v="3"/>
    <n v="25.21"/>
    <n v="344.69"/>
    <n v="47.35"/>
    <n v="3290"/>
    <n v="3.51"/>
    <x v="0"/>
    <x v="13"/>
    <x v="1"/>
    <s v="IPO"/>
  </r>
  <r>
    <x v="381"/>
    <x v="6"/>
    <n v="1"/>
    <n v="247.44"/>
    <n v="2080.34"/>
    <n v="62.29"/>
    <n v="648"/>
    <n v="4.67"/>
    <x v="0"/>
    <x v="2"/>
    <x v="4"/>
    <s v="Private"/>
  </r>
  <r>
    <x v="382"/>
    <x v="4"/>
    <n v="5"/>
    <n v="107.66"/>
    <n v="1463.05"/>
    <n v="47.03"/>
    <n v="4716"/>
    <n v="4.2"/>
    <x v="1"/>
    <x v="3"/>
    <x v="3"/>
    <s v="Acquired"/>
  </r>
  <r>
    <x v="383"/>
    <x v="2"/>
    <n v="5"/>
    <n v="96.97"/>
    <n v="413.9"/>
    <n v="44.8"/>
    <n v="199"/>
    <n v="0.23"/>
    <x v="0"/>
    <x v="28"/>
    <x v="3"/>
    <s v="Private"/>
  </r>
  <r>
    <x v="384"/>
    <x v="2"/>
    <n v="2"/>
    <n v="293.25"/>
    <n v="4357.49"/>
    <n v="47.48"/>
    <n v="4001"/>
    <n v="3.03"/>
    <x v="0"/>
    <x v="31"/>
    <x v="4"/>
    <s v="Private"/>
  </r>
  <r>
    <x v="385"/>
    <x v="1"/>
    <n v="4"/>
    <n v="60.66"/>
    <n v="504.65"/>
    <n v="59.13"/>
    <n v="493"/>
    <n v="4.6500000000000004"/>
    <x v="1"/>
    <x v="24"/>
    <x v="0"/>
    <s v="Private"/>
  </r>
  <r>
    <x v="386"/>
    <x v="3"/>
    <n v="1"/>
    <n v="208.11"/>
    <n v="743.78"/>
    <n v="53.75"/>
    <n v="2209"/>
    <n v="4.17"/>
    <x v="0"/>
    <x v="8"/>
    <x v="1"/>
    <s v="Private"/>
  </r>
  <r>
    <x v="387"/>
    <x v="6"/>
    <n v="1"/>
    <n v="246.52"/>
    <n v="852.04"/>
    <n v="85.43"/>
    <n v="2662"/>
    <n v="7.25"/>
    <x v="0"/>
    <x v="5"/>
    <x v="1"/>
    <s v="Private"/>
  </r>
  <r>
    <x v="388"/>
    <x v="7"/>
    <n v="3"/>
    <n v="12.83"/>
    <n v="153.38"/>
    <n v="5.04"/>
    <n v="3281"/>
    <n v="3.91"/>
    <x v="0"/>
    <x v="30"/>
    <x v="4"/>
    <s v="Acquired"/>
  </r>
  <r>
    <x v="389"/>
    <x v="3"/>
    <n v="5"/>
    <n v="201.28"/>
    <n v="2195.65"/>
    <n v="83.35"/>
    <n v="1107"/>
    <n v="4.9400000000000004"/>
    <x v="1"/>
    <x v="13"/>
    <x v="0"/>
    <s v="Private"/>
  </r>
  <r>
    <x v="390"/>
    <x v="0"/>
    <n v="1"/>
    <n v="285.49"/>
    <n v="3604.47"/>
    <n v="84.41"/>
    <n v="1246"/>
    <n v="4.3499999999999996"/>
    <x v="0"/>
    <x v="13"/>
    <x v="3"/>
    <s v="Acquired"/>
  </r>
  <r>
    <x v="391"/>
    <x v="0"/>
    <n v="5"/>
    <n v="37.700000000000003"/>
    <n v="160.77000000000001"/>
    <n v="28.56"/>
    <n v="520"/>
    <n v="7.43"/>
    <x v="0"/>
    <x v="25"/>
    <x v="2"/>
    <s v="Private"/>
  </r>
  <r>
    <x v="392"/>
    <x v="3"/>
    <n v="1"/>
    <n v="268.92"/>
    <n v="921.55"/>
    <n v="46.34"/>
    <n v="397"/>
    <n v="8.64"/>
    <x v="0"/>
    <x v="15"/>
    <x v="2"/>
    <s v="Private"/>
  </r>
  <r>
    <x v="393"/>
    <x v="1"/>
    <n v="2"/>
    <n v="178.64"/>
    <n v="1626.15"/>
    <n v="43.91"/>
    <n v="635"/>
    <n v="5.37"/>
    <x v="1"/>
    <x v="17"/>
    <x v="4"/>
    <s v="Private"/>
  </r>
  <r>
    <x v="394"/>
    <x v="7"/>
    <n v="4"/>
    <n v="185.17"/>
    <n v="1416.76"/>
    <n v="21.93"/>
    <n v="3721"/>
    <n v="7.92"/>
    <x v="0"/>
    <x v="5"/>
    <x v="0"/>
    <s v="Private"/>
  </r>
  <r>
    <x v="395"/>
    <x v="7"/>
    <n v="1"/>
    <n v="184.08"/>
    <n v="1572.66"/>
    <n v="39.74"/>
    <n v="1852"/>
    <n v="3.04"/>
    <x v="1"/>
    <x v="6"/>
    <x v="0"/>
    <s v="Private"/>
  </r>
  <r>
    <x v="396"/>
    <x v="6"/>
    <n v="5"/>
    <n v="90"/>
    <n v="1340.92"/>
    <n v="4.53"/>
    <n v="2660"/>
    <n v="5.46"/>
    <x v="0"/>
    <x v="6"/>
    <x v="1"/>
    <s v="Private"/>
  </r>
  <r>
    <x v="397"/>
    <x v="7"/>
    <n v="2"/>
    <n v="280.58999999999997"/>
    <n v="4110.3599999999997"/>
    <n v="27.85"/>
    <n v="984"/>
    <n v="3.52"/>
    <x v="1"/>
    <x v="9"/>
    <x v="3"/>
    <s v="IPO"/>
  </r>
  <r>
    <x v="398"/>
    <x v="0"/>
    <n v="1"/>
    <n v="284.23"/>
    <n v="4066.7"/>
    <n v="81.69"/>
    <n v="4534"/>
    <n v="4.2"/>
    <x v="1"/>
    <x v="22"/>
    <x v="0"/>
    <s v="Private"/>
  </r>
  <r>
    <x v="399"/>
    <x v="4"/>
    <n v="3"/>
    <n v="187.78"/>
    <n v="2329.62"/>
    <n v="28.53"/>
    <n v="3407"/>
    <n v="7.35"/>
    <x v="0"/>
    <x v="9"/>
    <x v="2"/>
    <s v="Private"/>
  </r>
  <r>
    <x v="400"/>
    <x v="1"/>
    <n v="4"/>
    <n v="235.14"/>
    <n v="1706.67"/>
    <n v="81.84"/>
    <n v="3876"/>
    <n v="8.83"/>
    <x v="0"/>
    <x v="17"/>
    <x v="3"/>
    <s v="Private"/>
  </r>
  <r>
    <x v="401"/>
    <x v="7"/>
    <n v="1"/>
    <n v="183.87"/>
    <n v="1460.95"/>
    <n v="53.21"/>
    <n v="282"/>
    <n v="1.3"/>
    <x v="0"/>
    <x v="3"/>
    <x v="3"/>
    <s v="Private"/>
  </r>
  <r>
    <x v="402"/>
    <x v="6"/>
    <n v="2"/>
    <n v="145.58000000000001"/>
    <n v="1396.9"/>
    <n v="88"/>
    <n v="237"/>
    <n v="6.38"/>
    <x v="0"/>
    <x v="3"/>
    <x v="4"/>
    <s v="IPO"/>
  </r>
  <r>
    <x v="403"/>
    <x v="0"/>
    <n v="3"/>
    <n v="198.42"/>
    <n v="2572.8000000000002"/>
    <n v="57.52"/>
    <n v="1557"/>
    <n v="5.86"/>
    <x v="1"/>
    <x v="12"/>
    <x v="0"/>
    <s v="Private"/>
  </r>
  <r>
    <x v="404"/>
    <x v="4"/>
    <n v="2"/>
    <n v="166.12"/>
    <n v="635.33000000000004"/>
    <n v="3.06"/>
    <n v="3275"/>
    <n v="1.27"/>
    <x v="0"/>
    <x v="12"/>
    <x v="4"/>
    <s v="Private"/>
  </r>
  <r>
    <x v="405"/>
    <x v="5"/>
    <n v="2"/>
    <n v="179.44"/>
    <n v="1451.95"/>
    <n v="67.569999999999993"/>
    <n v="2414"/>
    <n v="2.2000000000000002"/>
    <x v="0"/>
    <x v="10"/>
    <x v="0"/>
    <s v="Acquired"/>
  </r>
  <r>
    <x v="406"/>
    <x v="5"/>
    <n v="3"/>
    <n v="235.26"/>
    <n v="939.02"/>
    <n v="4.58"/>
    <n v="3517"/>
    <n v="3.18"/>
    <x v="0"/>
    <x v="6"/>
    <x v="1"/>
    <s v="Private"/>
  </r>
  <r>
    <x v="407"/>
    <x v="4"/>
    <n v="2"/>
    <n v="144.53"/>
    <n v="1326.19"/>
    <n v="45.11"/>
    <n v="30"/>
    <n v="1.75"/>
    <x v="1"/>
    <x v="22"/>
    <x v="4"/>
    <s v="Private"/>
  </r>
  <r>
    <x v="408"/>
    <x v="0"/>
    <n v="3"/>
    <n v="12.71"/>
    <n v="175.23"/>
    <n v="92.95"/>
    <n v="465"/>
    <n v="2.5099999999999998"/>
    <x v="0"/>
    <x v="25"/>
    <x v="4"/>
    <s v="Private"/>
  </r>
  <r>
    <x v="409"/>
    <x v="6"/>
    <n v="1"/>
    <n v="49.62"/>
    <n v="614.78"/>
    <n v="16.600000000000001"/>
    <n v="3769"/>
    <n v="2.75"/>
    <x v="0"/>
    <x v="13"/>
    <x v="2"/>
    <s v="Private"/>
  </r>
  <r>
    <x v="410"/>
    <x v="4"/>
    <n v="3"/>
    <n v="131.86000000000001"/>
    <n v="756.1"/>
    <n v="39.049999999999997"/>
    <n v="3436"/>
    <n v="3.42"/>
    <x v="0"/>
    <x v="17"/>
    <x v="4"/>
    <s v="IPO"/>
  </r>
  <r>
    <x v="411"/>
    <x v="1"/>
    <n v="3"/>
    <n v="217.59"/>
    <n v="3201.16"/>
    <n v="73.010000000000005"/>
    <n v="3488"/>
    <n v="7.52"/>
    <x v="1"/>
    <x v="30"/>
    <x v="0"/>
    <s v="Private"/>
  </r>
  <r>
    <x v="412"/>
    <x v="1"/>
    <n v="4"/>
    <n v="178.19"/>
    <n v="1961.55"/>
    <n v="88.24"/>
    <n v="1999"/>
    <n v="5.76"/>
    <x v="1"/>
    <x v="4"/>
    <x v="2"/>
    <s v="Private"/>
  </r>
  <r>
    <x v="413"/>
    <x v="5"/>
    <n v="3"/>
    <n v="195.26"/>
    <n v="610.21"/>
    <n v="67.13"/>
    <n v="495"/>
    <n v="9.86"/>
    <x v="0"/>
    <x v="7"/>
    <x v="4"/>
    <s v="Private"/>
  </r>
  <r>
    <x v="414"/>
    <x v="7"/>
    <n v="3"/>
    <n v="144.04"/>
    <n v="873.6"/>
    <n v="25.89"/>
    <n v="1077"/>
    <n v="4.21"/>
    <x v="0"/>
    <x v="1"/>
    <x v="4"/>
    <s v="Private"/>
  </r>
  <r>
    <x v="415"/>
    <x v="6"/>
    <n v="1"/>
    <n v="184.91"/>
    <n v="1133.23"/>
    <n v="67.489999999999995"/>
    <n v="3178"/>
    <n v="7.56"/>
    <x v="0"/>
    <x v="29"/>
    <x v="1"/>
    <s v="Acquired"/>
  </r>
  <r>
    <x v="416"/>
    <x v="5"/>
    <n v="4"/>
    <n v="99.04"/>
    <n v="379.43"/>
    <n v="29.74"/>
    <n v="220"/>
    <n v="8.73"/>
    <x v="0"/>
    <x v="12"/>
    <x v="4"/>
    <s v="Acquired"/>
  </r>
  <r>
    <x v="417"/>
    <x v="7"/>
    <n v="5"/>
    <n v="141.32"/>
    <n v="2051.67"/>
    <n v="71.87"/>
    <n v="1728"/>
    <n v="6.82"/>
    <x v="1"/>
    <x v="5"/>
    <x v="3"/>
    <s v="Private"/>
  </r>
  <r>
    <x v="418"/>
    <x v="7"/>
    <n v="1"/>
    <n v="223.41"/>
    <n v="1952.39"/>
    <n v="95.41"/>
    <n v="1597"/>
    <n v="4.18"/>
    <x v="1"/>
    <x v="29"/>
    <x v="2"/>
    <s v="Private"/>
  </r>
  <r>
    <x v="419"/>
    <x v="2"/>
    <n v="1"/>
    <n v="261.61"/>
    <n v="3597.08"/>
    <n v="72.17"/>
    <n v="2611"/>
    <n v="7.56"/>
    <x v="0"/>
    <x v="17"/>
    <x v="3"/>
    <s v="Private"/>
  </r>
  <r>
    <x v="420"/>
    <x v="1"/>
    <n v="5"/>
    <n v="130.38"/>
    <n v="895.27"/>
    <n v="86.3"/>
    <n v="163"/>
    <n v="2.12"/>
    <x v="1"/>
    <x v="2"/>
    <x v="2"/>
    <s v="Acquired"/>
  </r>
  <r>
    <x v="421"/>
    <x v="0"/>
    <n v="3"/>
    <n v="13.58"/>
    <n v="61.15"/>
    <n v="0.31"/>
    <n v="4786"/>
    <n v="3.34"/>
    <x v="0"/>
    <x v="22"/>
    <x v="1"/>
    <s v="Private"/>
  </r>
  <r>
    <x v="422"/>
    <x v="3"/>
    <n v="2"/>
    <n v="48.92"/>
    <n v="425.21"/>
    <n v="71.790000000000006"/>
    <n v="3318"/>
    <n v="5.51"/>
    <x v="1"/>
    <x v="20"/>
    <x v="4"/>
    <s v="Private"/>
  </r>
  <r>
    <x v="423"/>
    <x v="0"/>
    <n v="4"/>
    <n v="6.75"/>
    <n v="29.48"/>
    <n v="82.98"/>
    <n v="2846"/>
    <n v="5.8"/>
    <x v="1"/>
    <x v="3"/>
    <x v="4"/>
    <s v="Private"/>
  </r>
  <r>
    <x v="424"/>
    <x v="3"/>
    <n v="2"/>
    <n v="196.15"/>
    <n v="1732.43"/>
    <n v="4.1500000000000004"/>
    <n v="1781"/>
    <n v="0.32"/>
    <x v="0"/>
    <x v="16"/>
    <x v="4"/>
    <s v="Acquired"/>
  </r>
  <r>
    <x v="425"/>
    <x v="4"/>
    <n v="5"/>
    <n v="100.03"/>
    <n v="1404.78"/>
    <n v="87.17"/>
    <n v="2057"/>
    <n v="9.4600000000000009"/>
    <x v="1"/>
    <x v="29"/>
    <x v="2"/>
    <s v="Private"/>
  </r>
  <r>
    <x v="426"/>
    <x v="1"/>
    <n v="1"/>
    <n v="162.97"/>
    <n v="1507.35"/>
    <n v="25.74"/>
    <n v="2300"/>
    <n v="7"/>
    <x v="0"/>
    <x v="15"/>
    <x v="4"/>
    <s v="Private"/>
  </r>
  <r>
    <x v="427"/>
    <x v="7"/>
    <n v="1"/>
    <n v="148.24"/>
    <n v="1541.4"/>
    <n v="66.56"/>
    <n v="1701"/>
    <n v="5.01"/>
    <x v="0"/>
    <x v="11"/>
    <x v="3"/>
    <s v="Private"/>
  </r>
  <r>
    <x v="428"/>
    <x v="6"/>
    <n v="4"/>
    <n v="24.92"/>
    <n v="121.6"/>
    <n v="80.06"/>
    <n v="2998"/>
    <n v="9.34"/>
    <x v="0"/>
    <x v="30"/>
    <x v="4"/>
    <s v="Private"/>
  </r>
  <r>
    <x v="429"/>
    <x v="3"/>
    <n v="1"/>
    <n v="121.28"/>
    <n v="427.49"/>
    <n v="66.3"/>
    <n v="2474"/>
    <n v="4.45"/>
    <x v="0"/>
    <x v="12"/>
    <x v="1"/>
    <s v="Private"/>
  </r>
  <r>
    <x v="430"/>
    <x v="0"/>
    <n v="1"/>
    <n v="66.56"/>
    <n v="288.18"/>
    <n v="9.32"/>
    <n v="1951"/>
    <n v="9.81"/>
    <x v="1"/>
    <x v="30"/>
    <x v="3"/>
    <s v="Private"/>
  </r>
  <r>
    <x v="431"/>
    <x v="7"/>
    <n v="4"/>
    <n v="125.81"/>
    <n v="1281.05"/>
    <n v="59.67"/>
    <n v="3814"/>
    <n v="5.17"/>
    <x v="1"/>
    <x v="19"/>
    <x v="4"/>
    <s v="Private"/>
  </r>
  <r>
    <x v="432"/>
    <x v="3"/>
    <n v="4"/>
    <n v="61.47"/>
    <n v="254.49"/>
    <n v="55"/>
    <n v="2788"/>
    <n v="1.23"/>
    <x v="1"/>
    <x v="21"/>
    <x v="4"/>
    <s v="Acquired"/>
  </r>
  <r>
    <x v="433"/>
    <x v="3"/>
    <n v="5"/>
    <n v="252.22"/>
    <n v="1894.66"/>
    <n v="90.04"/>
    <n v="3649"/>
    <n v="7.67"/>
    <x v="1"/>
    <x v="6"/>
    <x v="0"/>
    <s v="Private"/>
  </r>
  <r>
    <x v="434"/>
    <x v="2"/>
    <n v="1"/>
    <n v="52.67"/>
    <n v="505.69"/>
    <n v="40.479999999999997"/>
    <n v="2505"/>
    <n v="6.82"/>
    <x v="1"/>
    <x v="11"/>
    <x v="2"/>
    <s v="IPO"/>
  </r>
  <r>
    <x v="435"/>
    <x v="3"/>
    <n v="1"/>
    <n v="288.25"/>
    <n v="2209.1"/>
    <n v="32.18"/>
    <n v="3650"/>
    <n v="7.75"/>
    <x v="0"/>
    <x v="15"/>
    <x v="3"/>
    <s v="Private"/>
  </r>
  <r>
    <x v="436"/>
    <x v="6"/>
    <n v="5"/>
    <n v="125.06"/>
    <n v="620.82000000000005"/>
    <n v="75.010000000000005"/>
    <n v="2650"/>
    <n v="9.52"/>
    <x v="0"/>
    <x v="29"/>
    <x v="0"/>
    <s v="Private"/>
  </r>
  <r>
    <x v="437"/>
    <x v="1"/>
    <n v="3"/>
    <n v="253.95"/>
    <n v="1596.2"/>
    <n v="41.33"/>
    <n v="2354"/>
    <n v="7.79"/>
    <x v="0"/>
    <x v="18"/>
    <x v="1"/>
    <s v="Private"/>
  </r>
  <r>
    <x v="438"/>
    <x v="6"/>
    <n v="3"/>
    <n v="188.82"/>
    <n v="2669.88"/>
    <n v="64.650000000000006"/>
    <n v="1937"/>
    <n v="6.15"/>
    <x v="1"/>
    <x v="16"/>
    <x v="2"/>
    <s v="Private"/>
  </r>
  <r>
    <x v="439"/>
    <x v="5"/>
    <n v="3"/>
    <n v="220.74"/>
    <n v="2452.8200000000002"/>
    <n v="64.680000000000007"/>
    <n v="3299"/>
    <n v="8.59"/>
    <x v="1"/>
    <x v="29"/>
    <x v="3"/>
    <s v="Acquired"/>
  </r>
  <r>
    <x v="440"/>
    <x v="7"/>
    <n v="5"/>
    <n v="230.43"/>
    <n v="2062.94"/>
    <n v="88.82"/>
    <n v="1762"/>
    <n v="6.77"/>
    <x v="0"/>
    <x v="22"/>
    <x v="4"/>
    <s v="Private"/>
  </r>
  <r>
    <x v="441"/>
    <x v="1"/>
    <n v="1"/>
    <n v="151.69999999999999"/>
    <n v="478.25"/>
    <n v="59.91"/>
    <n v="1121"/>
    <n v="4.1399999999999997"/>
    <x v="1"/>
    <x v="10"/>
    <x v="3"/>
    <s v="Private"/>
  </r>
  <r>
    <x v="442"/>
    <x v="2"/>
    <n v="5"/>
    <n v="163.22"/>
    <n v="2433.44"/>
    <n v="50.27"/>
    <n v="2572"/>
    <n v="8.8699999999999992"/>
    <x v="1"/>
    <x v="10"/>
    <x v="4"/>
    <s v="IPO"/>
  </r>
  <r>
    <x v="443"/>
    <x v="1"/>
    <n v="5"/>
    <n v="154.44"/>
    <n v="1707.71"/>
    <n v="13.97"/>
    <n v="3504"/>
    <n v="2.2999999999999998"/>
    <x v="0"/>
    <x v="22"/>
    <x v="2"/>
    <s v="Private"/>
  </r>
  <r>
    <x v="444"/>
    <x v="1"/>
    <n v="3"/>
    <n v="176.62"/>
    <n v="1201.56"/>
    <n v="11.66"/>
    <n v="497"/>
    <n v="7.17"/>
    <x v="0"/>
    <x v="12"/>
    <x v="4"/>
    <s v="Acquired"/>
  </r>
  <r>
    <x v="445"/>
    <x v="0"/>
    <n v="2"/>
    <n v="9.3000000000000007"/>
    <n v="126.03"/>
    <n v="15.52"/>
    <n v="3311"/>
    <n v="8.83"/>
    <x v="0"/>
    <x v="11"/>
    <x v="1"/>
    <s v="Private"/>
  </r>
  <r>
    <x v="446"/>
    <x v="1"/>
    <n v="1"/>
    <n v="118.96"/>
    <n v="725.8"/>
    <n v="17.27"/>
    <n v="624"/>
    <n v="7.34"/>
    <x v="0"/>
    <x v="28"/>
    <x v="4"/>
    <s v="Private"/>
  </r>
  <r>
    <x v="447"/>
    <x v="2"/>
    <n v="3"/>
    <n v="182.05"/>
    <n v="1734.61"/>
    <n v="63.82"/>
    <n v="3237"/>
    <n v="7"/>
    <x v="0"/>
    <x v="17"/>
    <x v="1"/>
    <s v="Acquired"/>
  </r>
  <r>
    <x v="448"/>
    <x v="6"/>
    <n v="2"/>
    <n v="179.52"/>
    <n v="1908.81"/>
    <n v="74.12"/>
    <n v="3828"/>
    <n v="7.55"/>
    <x v="0"/>
    <x v="31"/>
    <x v="2"/>
    <s v="Private"/>
  </r>
  <r>
    <x v="449"/>
    <x v="1"/>
    <n v="2"/>
    <n v="237.99"/>
    <n v="1345.3"/>
    <n v="53.05"/>
    <n v="2385"/>
    <n v="4.7"/>
    <x v="0"/>
    <x v="1"/>
    <x v="2"/>
    <s v="IPO"/>
  </r>
  <r>
    <x v="450"/>
    <x v="4"/>
    <n v="4"/>
    <n v="196.68"/>
    <n v="2899.21"/>
    <n v="82.92"/>
    <n v="1551"/>
    <n v="8.75"/>
    <x v="0"/>
    <x v="1"/>
    <x v="3"/>
    <s v="Acquired"/>
  </r>
  <r>
    <x v="451"/>
    <x v="7"/>
    <n v="1"/>
    <n v="297.64"/>
    <n v="3565.22"/>
    <n v="99.13"/>
    <n v="4963"/>
    <n v="2.11"/>
    <x v="1"/>
    <x v="26"/>
    <x v="1"/>
    <s v="IPO"/>
  </r>
  <r>
    <x v="452"/>
    <x v="1"/>
    <n v="2"/>
    <n v="85.51"/>
    <n v="828.91"/>
    <n v="82.02"/>
    <n v="3568"/>
    <n v="1.36"/>
    <x v="0"/>
    <x v="22"/>
    <x v="1"/>
    <s v="Private"/>
  </r>
  <r>
    <x v="453"/>
    <x v="7"/>
    <n v="3"/>
    <n v="108.07"/>
    <n v="558.41"/>
    <n v="69.52"/>
    <n v="1610"/>
    <n v="2.93"/>
    <x v="1"/>
    <x v="0"/>
    <x v="0"/>
    <s v="Private"/>
  </r>
  <r>
    <x v="454"/>
    <x v="4"/>
    <n v="4"/>
    <n v="115.46"/>
    <n v="421"/>
    <n v="53.3"/>
    <n v="3757"/>
    <n v="5.36"/>
    <x v="0"/>
    <x v="24"/>
    <x v="0"/>
    <s v="Private"/>
  </r>
  <r>
    <x v="455"/>
    <x v="4"/>
    <n v="1"/>
    <n v="140.01"/>
    <n v="957.77"/>
    <n v="44.94"/>
    <n v="4680"/>
    <n v="5.15"/>
    <x v="0"/>
    <x v="21"/>
    <x v="0"/>
    <s v="Acquired"/>
  </r>
  <r>
    <x v="456"/>
    <x v="7"/>
    <n v="5"/>
    <n v="250.88"/>
    <n v="3020.16"/>
    <n v="8.5299999999999994"/>
    <n v="1895"/>
    <n v="8.2200000000000006"/>
    <x v="1"/>
    <x v="26"/>
    <x v="4"/>
    <s v="Acquired"/>
  </r>
  <r>
    <x v="457"/>
    <x v="3"/>
    <n v="3"/>
    <n v="71.12"/>
    <n v="443.22"/>
    <n v="40"/>
    <n v="1280"/>
    <n v="4.1100000000000003"/>
    <x v="0"/>
    <x v="28"/>
    <x v="0"/>
    <s v="Private"/>
  </r>
  <r>
    <x v="458"/>
    <x v="5"/>
    <n v="2"/>
    <n v="232.91"/>
    <n v="2206.75"/>
    <n v="91.02"/>
    <n v="2748"/>
    <n v="4.9000000000000004"/>
    <x v="0"/>
    <x v="4"/>
    <x v="1"/>
    <s v="Private"/>
  </r>
  <r>
    <x v="459"/>
    <x v="0"/>
    <n v="2"/>
    <n v="121.89"/>
    <n v="1430.42"/>
    <n v="80.819999999999993"/>
    <n v="2498"/>
    <n v="0.23"/>
    <x v="1"/>
    <x v="11"/>
    <x v="4"/>
    <s v="Private"/>
  </r>
  <r>
    <x v="460"/>
    <x v="3"/>
    <n v="3"/>
    <n v="180.76"/>
    <n v="776.42"/>
    <n v="21.68"/>
    <n v="361"/>
    <n v="4.16"/>
    <x v="0"/>
    <x v="10"/>
    <x v="2"/>
    <s v="Acquired"/>
  </r>
  <r>
    <x v="461"/>
    <x v="3"/>
    <n v="2"/>
    <n v="189.95"/>
    <n v="2131.92"/>
    <n v="46.71"/>
    <n v="874"/>
    <n v="6.51"/>
    <x v="0"/>
    <x v="11"/>
    <x v="3"/>
    <s v="Private"/>
  </r>
  <r>
    <x v="462"/>
    <x v="6"/>
    <n v="4"/>
    <n v="112.17"/>
    <n v="460.17"/>
    <n v="81.69"/>
    <n v="890"/>
    <n v="0.25"/>
    <x v="0"/>
    <x v="16"/>
    <x v="0"/>
    <s v="Private"/>
  </r>
  <r>
    <x v="463"/>
    <x v="0"/>
    <n v="1"/>
    <n v="154.03"/>
    <n v="2246"/>
    <n v="6.83"/>
    <n v="2006"/>
    <n v="2.88"/>
    <x v="0"/>
    <x v="9"/>
    <x v="2"/>
    <s v="Private"/>
  </r>
  <r>
    <x v="464"/>
    <x v="0"/>
    <n v="4"/>
    <n v="124.2"/>
    <n v="1100.5"/>
    <n v="38.799999999999997"/>
    <n v="1288"/>
    <n v="2.16"/>
    <x v="0"/>
    <x v="0"/>
    <x v="1"/>
    <s v="Private"/>
  </r>
  <r>
    <x v="465"/>
    <x v="3"/>
    <n v="2"/>
    <n v="21.21"/>
    <n v="101.98"/>
    <n v="85.2"/>
    <n v="624"/>
    <n v="0.52"/>
    <x v="0"/>
    <x v="14"/>
    <x v="3"/>
    <s v="Acquired"/>
  </r>
  <r>
    <x v="466"/>
    <x v="1"/>
    <n v="5"/>
    <n v="131.43"/>
    <n v="934.28"/>
    <n v="40.450000000000003"/>
    <n v="887"/>
    <n v="4.84"/>
    <x v="1"/>
    <x v="27"/>
    <x v="2"/>
    <s v="Private"/>
  </r>
  <r>
    <x v="467"/>
    <x v="6"/>
    <n v="1"/>
    <n v="29.67"/>
    <n v="236.2"/>
    <n v="7.85"/>
    <n v="801"/>
    <n v="1.9"/>
    <x v="1"/>
    <x v="27"/>
    <x v="3"/>
    <s v="Private"/>
  </r>
  <r>
    <x v="468"/>
    <x v="6"/>
    <n v="1"/>
    <n v="121.8"/>
    <n v="1473.56"/>
    <n v="54.3"/>
    <n v="3647"/>
    <n v="7.46"/>
    <x v="1"/>
    <x v="16"/>
    <x v="0"/>
    <s v="Private"/>
  </r>
  <r>
    <x v="469"/>
    <x v="4"/>
    <n v="3"/>
    <n v="178.08"/>
    <n v="2122.91"/>
    <n v="86.19"/>
    <n v="3430"/>
    <n v="8.49"/>
    <x v="1"/>
    <x v="5"/>
    <x v="1"/>
    <s v="Private"/>
  </r>
  <r>
    <x v="470"/>
    <x v="2"/>
    <n v="3"/>
    <n v="174.03"/>
    <n v="1800.04"/>
    <n v="59.07"/>
    <n v="1301"/>
    <n v="5.5"/>
    <x v="1"/>
    <x v="31"/>
    <x v="3"/>
    <s v="Private"/>
  </r>
  <r>
    <x v="471"/>
    <x v="0"/>
    <n v="5"/>
    <n v="198.96"/>
    <n v="849.79"/>
    <n v="22.71"/>
    <n v="4719"/>
    <n v="9.82"/>
    <x v="0"/>
    <x v="20"/>
    <x v="2"/>
    <s v="Private"/>
  </r>
  <r>
    <x v="472"/>
    <x v="3"/>
    <n v="1"/>
    <n v="29.03"/>
    <n v="139.88999999999999"/>
    <n v="38.49"/>
    <n v="249"/>
    <n v="4.5599999999999996"/>
    <x v="1"/>
    <x v="15"/>
    <x v="0"/>
    <s v="IPO"/>
  </r>
  <r>
    <x v="473"/>
    <x v="4"/>
    <n v="5"/>
    <n v="195.81"/>
    <n v="807.73"/>
    <n v="45.07"/>
    <n v="2900"/>
    <n v="5.18"/>
    <x v="1"/>
    <x v="0"/>
    <x v="0"/>
    <s v="Private"/>
  </r>
  <r>
    <x v="474"/>
    <x v="7"/>
    <n v="3"/>
    <n v="93.99"/>
    <n v="932.95"/>
    <n v="57.97"/>
    <n v="934"/>
    <n v="9.89"/>
    <x v="1"/>
    <x v="15"/>
    <x v="2"/>
    <s v="Private"/>
  </r>
  <r>
    <x v="475"/>
    <x v="5"/>
    <n v="3"/>
    <n v="120.01"/>
    <n v="1623.21"/>
    <n v="75.959999999999994"/>
    <n v="524"/>
    <n v="2.39"/>
    <x v="0"/>
    <x v="12"/>
    <x v="2"/>
    <s v="Private"/>
  </r>
  <r>
    <x v="476"/>
    <x v="2"/>
    <n v="1"/>
    <n v="257.47000000000003"/>
    <n v="2112.6999999999998"/>
    <n v="9.98"/>
    <n v="3217"/>
    <n v="9.43"/>
    <x v="0"/>
    <x v="15"/>
    <x v="3"/>
    <s v="Private"/>
  </r>
  <r>
    <x v="477"/>
    <x v="2"/>
    <n v="4"/>
    <n v="3.2"/>
    <n v="15.78"/>
    <n v="88.98"/>
    <n v="2414"/>
    <n v="0.52"/>
    <x v="0"/>
    <x v="20"/>
    <x v="4"/>
    <s v="IPO"/>
  </r>
  <r>
    <x v="478"/>
    <x v="2"/>
    <n v="2"/>
    <n v="176.73"/>
    <n v="1713.66"/>
    <n v="1.33"/>
    <n v="12"/>
    <n v="4.5199999999999996"/>
    <x v="1"/>
    <x v="16"/>
    <x v="0"/>
    <s v="Private"/>
  </r>
  <r>
    <x v="479"/>
    <x v="6"/>
    <n v="3"/>
    <n v="179.81"/>
    <n v="2290.96"/>
    <n v="37.07"/>
    <n v="2530"/>
    <n v="0.79"/>
    <x v="0"/>
    <x v="26"/>
    <x v="3"/>
    <s v="Private"/>
  </r>
  <r>
    <x v="480"/>
    <x v="7"/>
    <n v="3"/>
    <n v="119.3"/>
    <n v="1419.73"/>
    <n v="2.84"/>
    <n v="3428"/>
    <n v="7.32"/>
    <x v="1"/>
    <x v="25"/>
    <x v="2"/>
    <s v="Acquired"/>
  </r>
  <r>
    <x v="481"/>
    <x v="2"/>
    <n v="4"/>
    <n v="71.489999999999995"/>
    <n v="970.65"/>
    <n v="39.36"/>
    <n v="2024"/>
    <n v="6.12"/>
    <x v="0"/>
    <x v="3"/>
    <x v="3"/>
    <s v="Private"/>
  </r>
  <r>
    <x v="482"/>
    <x v="7"/>
    <n v="4"/>
    <n v="70.78"/>
    <n v="448.38"/>
    <n v="52.63"/>
    <n v="4595"/>
    <n v="7.1"/>
    <x v="0"/>
    <x v="19"/>
    <x v="2"/>
    <s v="IPO"/>
  </r>
  <r>
    <x v="483"/>
    <x v="1"/>
    <n v="5"/>
    <n v="265.17"/>
    <n v="1412.68"/>
    <n v="51.22"/>
    <n v="4287"/>
    <n v="3.81"/>
    <x v="0"/>
    <x v="17"/>
    <x v="1"/>
    <s v="Private"/>
  </r>
  <r>
    <x v="484"/>
    <x v="2"/>
    <n v="5"/>
    <n v="132.88999999999999"/>
    <n v="1801.7"/>
    <n v="16.649999999999999"/>
    <n v="3672"/>
    <n v="3.76"/>
    <x v="0"/>
    <x v="5"/>
    <x v="2"/>
    <s v="Private"/>
  </r>
  <r>
    <x v="485"/>
    <x v="5"/>
    <n v="2"/>
    <n v="99.6"/>
    <n v="1084.72"/>
    <n v="64.61"/>
    <n v="3676"/>
    <n v="0.55000000000000004"/>
    <x v="0"/>
    <x v="18"/>
    <x v="2"/>
    <s v="Private"/>
  </r>
  <r>
    <x v="486"/>
    <x v="7"/>
    <n v="2"/>
    <n v="134.91"/>
    <n v="908.1"/>
    <n v="4.57"/>
    <n v="2806"/>
    <n v="3.56"/>
    <x v="0"/>
    <x v="1"/>
    <x v="2"/>
    <s v="Private"/>
  </r>
  <r>
    <x v="487"/>
    <x v="7"/>
    <n v="1"/>
    <n v="200.98"/>
    <n v="2393.31"/>
    <n v="76.209999999999994"/>
    <n v="90"/>
    <n v="9.3000000000000007"/>
    <x v="1"/>
    <x v="14"/>
    <x v="4"/>
    <s v="Private"/>
  </r>
  <r>
    <x v="488"/>
    <x v="5"/>
    <n v="5"/>
    <n v="44.15"/>
    <n v="564.29999999999995"/>
    <n v="94.67"/>
    <n v="3120"/>
    <n v="3.85"/>
    <x v="0"/>
    <x v="22"/>
    <x v="2"/>
    <s v="Private"/>
  </r>
  <r>
    <x v="489"/>
    <x v="2"/>
    <n v="3"/>
    <n v="135.11000000000001"/>
    <n v="1402.41"/>
    <n v="34.04"/>
    <n v="4237"/>
    <n v="8.33"/>
    <x v="0"/>
    <x v="28"/>
    <x v="0"/>
    <s v="Private"/>
  </r>
  <r>
    <x v="490"/>
    <x v="5"/>
    <n v="5"/>
    <n v="176.57"/>
    <n v="1987.23"/>
    <n v="51.77"/>
    <n v="2473"/>
    <n v="8.44"/>
    <x v="1"/>
    <x v="21"/>
    <x v="0"/>
    <s v="Private"/>
  </r>
  <r>
    <x v="491"/>
    <x v="7"/>
    <n v="3"/>
    <n v="284.60000000000002"/>
    <n v="2135.39"/>
    <n v="37.950000000000003"/>
    <n v="3624"/>
    <n v="3.8"/>
    <x v="1"/>
    <x v="7"/>
    <x v="3"/>
    <s v="Private"/>
  </r>
  <r>
    <x v="492"/>
    <x v="5"/>
    <n v="4"/>
    <n v="76.13"/>
    <n v="720.52"/>
    <n v="0.77"/>
    <n v="1641"/>
    <n v="6.36"/>
    <x v="1"/>
    <x v="15"/>
    <x v="4"/>
    <s v="Acquired"/>
  </r>
  <r>
    <x v="493"/>
    <x v="7"/>
    <n v="5"/>
    <n v="108.1"/>
    <n v="1004.24"/>
    <n v="38.65"/>
    <n v="3588"/>
    <n v="1.04"/>
    <x v="0"/>
    <x v="0"/>
    <x v="3"/>
    <s v="Private"/>
  </r>
  <r>
    <x v="494"/>
    <x v="7"/>
    <n v="4"/>
    <n v="114.12"/>
    <n v="1503.71"/>
    <n v="79.19"/>
    <n v="4014"/>
    <n v="1.1299999999999999"/>
    <x v="1"/>
    <x v="12"/>
    <x v="0"/>
    <s v="IPO"/>
  </r>
  <r>
    <x v="495"/>
    <x v="1"/>
    <n v="2"/>
    <n v="181.86"/>
    <n v="2378.65"/>
    <n v="59.64"/>
    <n v="3331"/>
    <n v="0.57999999999999996"/>
    <x v="1"/>
    <x v="15"/>
    <x v="0"/>
    <s v="Private"/>
  </r>
  <r>
    <x v="496"/>
    <x v="3"/>
    <n v="2"/>
    <n v="107.34"/>
    <n v="1394.58"/>
    <n v="10.220000000000001"/>
    <n v="2223"/>
    <n v="5.85"/>
    <x v="0"/>
    <x v="26"/>
    <x v="1"/>
    <s v="Private"/>
  </r>
  <r>
    <x v="497"/>
    <x v="7"/>
    <n v="1"/>
    <n v="160.29"/>
    <n v="502.09"/>
    <n v="84.73"/>
    <n v="2222"/>
    <n v="4.32"/>
    <x v="0"/>
    <x v="26"/>
    <x v="2"/>
    <s v="Private"/>
  </r>
  <r>
    <x v="498"/>
    <x v="2"/>
    <n v="5"/>
    <n v="234.65"/>
    <n v="2814.52"/>
    <n v="53.16"/>
    <n v="4972"/>
    <n v="5.53"/>
    <x v="0"/>
    <x v="9"/>
    <x v="0"/>
    <s v="Private"/>
  </r>
  <r>
    <x v="499"/>
    <x v="4"/>
    <n v="4"/>
    <n v="211.76"/>
    <n v="2563.17"/>
    <n v="84.19"/>
    <n v="2374"/>
    <n v="5.26"/>
    <x v="0"/>
    <x v="29"/>
    <x v="3"/>
    <s v="Privat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n v="101.09"/>
    <n v="844.75"/>
    <n v="67.87"/>
    <n v="1468"/>
    <n v="5.2"/>
    <x v="0"/>
    <n v="2006"/>
    <x v="0"/>
    <s v="Private"/>
    <x v="0"/>
  </r>
  <r>
    <x v="1"/>
    <x v="1"/>
    <x v="0"/>
    <n v="247.62"/>
    <n v="3310.83"/>
    <n v="75.650000000000006"/>
    <n v="3280"/>
    <n v="8.1"/>
    <x v="1"/>
    <n v="2003"/>
    <x v="1"/>
    <s v="Private"/>
    <x v="0"/>
  </r>
  <r>
    <x v="2"/>
    <x v="1"/>
    <x v="0"/>
    <n v="109.24"/>
    <n v="1059.3699999999999"/>
    <n v="84.21"/>
    <n v="4933"/>
    <n v="2.61"/>
    <x v="1"/>
    <n v="1995"/>
    <x v="1"/>
    <s v="Private"/>
    <x v="0"/>
  </r>
  <r>
    <x v="3"/>
    <x v="2"/>
    <x v="1"/>
    <n v="10.75"/>
    <n v="101.9"/>
    <n v="47.08"/>
    <n v="1059"/>
    <n v="2.5299999999999998"/>
    <x v="0"/>
    <n v="2003"/>
    <x v="1"/>
    <s v="Private"/>
    <x v="0"/>
  </r>
  <r>
    <x v="4"/>
    <x v="0"/>
    <x v="2"/>
    <n v="249.28"/>
    <n v="850.11"/>
    <n v="50.25"/>
    <n v="1905"/>
    <n v="4.09"/>
    <x v="0"/>
    <n v="1997"/>
    <x v="0"/>
    <s v="Acquired"/>
    <x v="0"/>
  </r>
  <r>
    <x v="5"/>
    <x v="3"/>
    <x v="1"/>
    <n v="103.89"/>
    <n v="1541.76"/>
    <n v="12.56"/>
    <n v="1462"/>
    <n v="8.9600000000000009"/>
    <x v="1"/>
    <n v="2004"/>
    <x v="0"/>
    <s v="IPO"/>
    <x v="0"/>
  </r>
  <r>
    <x v="6"/>
    <x v="2"/>
    <x v="2"/>
    <n v="232.26"/>
    <n v="1039.51"/>
    <n v="38.6"/>
    <n v="1404"/>
    <n v="0.1"/>
    <x v="0"/>
    <n v="2016"/>
    <x v="2"/>
    <s v="Private"/>
    <x v="1"/>
  </r>
  <r>
    <x v="7"/>
    <x v="4"/>
    <x v="1"/>
    <n v="109.15"/>
    <n v="630.19000000000005"/>
    <n v="64.37"/>
    <n v="3420"/>
    <n v="9.02"/>
    <x v="1"/>
    <n v="2002"/>
    <x v="2"/>
    <s v="IPO"/>
    <x v="0"/>
  </r>
  <r>
    <x v="8"/>
    <x v="2"/>
    <x v="1"/>
    <n v="258.39"/>
    <n v="935.47"/>
    <n v="78.06"/>
    <n v="447"/>
    <n v="1.62"/>
    <x v="0"/>
    <n v="2020"/>
    <x v="3"/>
    <s v="Acquired"/>
    <x v="1"/>
  </r>
  <r>
    <x v="9"/>
    <x v="5"/>
    <x v="3"/>
    <n v="66.239999999999995"/>
    <n v="707.45"/>
    <n v="21.8"/>
    <n v="3655"/>
    <n v="9.9"/>
    <x v="0"/>
    <n v="1995"/>
    <x v="0"/>
    <s v="Private"/>
    <x v="0"/>
  </r>
  <r>
    <x v="10"/>
    <x v="3"/>
    <x v="1"/>
    <n v="292.38"/>
    <n v="1665.52"/>
    <n v="13.87"/>
    <n v="4657"/>
    <n v="9.5500000000000007"/>
    <x v="0"/>
    <n v="1994"/>
    <x v="0"/>
    <s v="Private"/>
    <x v="0"/>
  </r>
  <r>
    <x v="11"/>
    <x v="5"/>
    <x v="4"/>
    <n v="234.04"/>
    <n v="1207.68"/>
    <n v="66.34"/>
    <n v="1183"/>
    <n v="5"/>
    <x v="0"/>
    <n v="2011"/>
    <x v="0"/>
    <s v="Private"/>
    <x v="1"/>
  </r>
  <r>
    <x v="12"/>
    <x v="0"/>
    <x v="3"/>
    <n v="34.71"/>
    <n v="141.02000000000001"/>
    <n v="0.28999999999999998"/>
    <n v="4463"/>
    <n v="5.18"/>
    <x v="1"/>
    <n v="2012"/>
    <x v="2"/>
    <s v="Acquired"/>
    <x v="1"/>
  </r>
  <r>
    <x v="13"/>
    <x v="6"/>
    <x v="1"/>
    <n v="169.95"/>
    <n v="720.54"/>
    <n v="17.920000000000002"/>
    <n v="1262"/>
    <n v="4.87"/>
    <x v="0"/>
    <n v="2014"/>
    <x v="1"/>
    <s v="Acquired"/>
    <x v="1"/>
  </r>
  <r>
    <x v="14"/>
    <x v="5"/>
    <x v="0"/>
    <n v="295.62"/>
    <n v="2960.94"/>
    <n v="3"/>
    <n v="3639"/>
    <n v="6.39"/>
    <x v="1"/>
    <n v="2015"/>
    <x v="4"/>
    <s v="Acquired"/>
    <x v="1"/>
  </r>
  <r>
    <x v="15"/>
    <x v="4"/>
    <x v="4"/>
    <n v="141.58000000000001"/>
    <n v="1593.98"/>
    <n v="16.77"/>
    <n v="1846"/>
    <n v="1"/>
    <x v="1"/>
    <n v="1994"/>
    <x v="2"/>
    <s v="Private"/>
    <x v="0"/>
  </r>
  <r>
    <x v="16"/>
    <x v="2"/>
    <x v="4"/>
    <n v="55.04"/>
    <n v="427.58"/>
    <n v="18.21"/>
    <n v="2314"/>
    <n v="0.42"/>
    <x v="0"/>
    <n v="2015"/>
    <x v="0"/>
    <s v="Private"/>
    <x v="1"/>
  </r>
  <r>
    <x v="17"/>
    <x v="6"/>
    <x v="4"/>
    <n v="145.69"/>
    <n v="1276.06"/>
    <n v="38.83"/>
    <n v="915"/>
    <n v="0.67"/>
    <x v="1"/>
    <n v="2009"/>
    <x v="2"/>
    <s v="Private"/>
    <x v="0"/>
  </r>
  <r>
    <x v="18"/>
    <x v="2"/>
    <x v="3"/>
    <n v="153.97999999999999"/>
    <n v="1729.44"/>
    <n v="40.29"/>
    <n v="4345"/>
    <n v="4.5"/>
    <x v="0"/>
    <n v="1995"/>
    <x v="3"/>
    <s v="Acquired"/>
    <x v="0"/>
  </r>
  <r>
    <x v="19"/>
    <x v="5"/>
    <x v="1"/>
    <n v="222.64"/>
    <n v="714.35"/>
    <n v="87.44"/>
    <n v="4642"/>
    <n v="2.83"/>
    <x v="0"/>
    <n v="1995"/>
    <x v="0"/>
    <s v="Private"/>
    <x v="0"/>
  </r>
  <r>
    <x v="20"/>
    <x v="2"/>
    <x v="1"/>
    <n v="209.8"/>
    <n v="1442.91"/>
    <n v="51.06"/>
    <n v="4014"/>
    <n v="6.26"/>
    <x v="1"/>
    <n v="2007"/>
    <x v="3"/>
    <s v="Private"/>
    <x v="0"/>
  </r>
  <r>
    <x v="21"/>
    <x v="0"/>
    <x v="0"/>
    <n v="121.06"/>
    <n v="1776.82"/>
    <n v="72.37"/>
    <n v="2174"/>
    <n v="9.93"/>
    <x v="0"/>
    <n v="1993"/>
    <x v="0"/>
    <s v="Private"/>
    <x v="0"/>
  </r>
  <r>
    <x v="22"/>
    <x v="6"/>
    <x v="0"/>
    <n v="65.8"/>
    <n v="655.46"/>
    <n v="10.5"/>
    <n v="2177"/>
    <n v="3.92"/>
    <x v="0"/>
    <n v="2006"/>
    <x v="2"/>
    <s v="Private"/>
    <x v="0"/>
  </r>
  <r>
    <x v="23"/>
    <x v="0"/>
    <x v="4"/>
    <n v="193.69"/>
    <n v="1171.96"/>
    <n v="22.62"/>
    <n v="128"/>
    <n v="5.78"/>
    <x v="0"/>
    <n v="2003"/>
    <x v="1"/>
    <s v="Private"/>
    <x v="0"/>
  </r>
  <r>
    <x v="24"/>
    <x v="5"/>
    <x v="0"/>
    <n v="126.8"/>
    <n v="1174.26"/>
    <n v="70.319999999999993"/>
    <n v="3163"/>
    <n v="4.21"/>
    <x v="0"/>
    <n v="2003"/>
    <x v="4"/>
    <s v="Acquired"/>
    <x v="0"/>
  </r>
  <r>
    <x v="25"/>
    <x v="0"/>
    <x v="3"/>
    <n v="40.119999999999997"/>
    <n v="285.33"/>
    <n v="5.38"/>
    <n v="790"/>
    <n v="8.49"/>
    <x v="1"/>
    <n v="2002"/>
    <x v="3"/>
    <s v="Acquired"/>
    <x v="0"/>
  </r>
  <r>
    <x v="26"/>
    <x v="4"/>
    <x v="1"/>
    <n v="270.22000000000003"/>
    <n v="2536.54"/>
    <n v="48.71"/>
    <n v="2421"/>
    <n v="9.0299999999999994"/>
    <x v="1"/>
    <n v="1996"/>
    <x v="2"/>
    <s v="Private"/>
    <x v="0"/>
  </r>
  <r>
    <x v="27"/>
    <x v="5"/>
    <x v="4"/>
    <n v="207.52"/>
    <n v="935.69"/>
    <n v="59.98"/>
    <n v="801"/>
    <n v="8.7899999999999991"/>
    <x v="1"/>
    <n v="2004"/>
    <x v="1"/>
    <s v="IPO"/>
    <x v="0"/>
  </r>
  <r>
    <x v="28"/>
    <x v="5"/>
    <x v="0"/>
    <n v="205.11"/>
    <n v="941.98"/>
    <n v="60.25"/>
    <n v="4177"/>
    <n v="9.75"/>
    <x v="1"/>
    <n v="2008"/>
    <x v="2"/>
    <s v="Acquired"/>
    <x v="0"/>
  </r>
  <r>
    <x v="29"/>
    <x v="5"/>
    <x v="3"/>
    <n v="246.86"/>
    <n v="1165.8"/>
    <n v="2.39"/>
    <n v="4159"/>
    <n v="0.37"/>
    <x v="0"/>
    <n v="2006"/>
    <x v="3"/>
    <s v="Acquired"/>
    <x v="0"/>
  </r>
  <r>
    <x v="30"/>
    <x v="3"/>
    <x v="3"/>
    <n v="159.13"/>
    <n v="2272.0300000000002"/>
    <n v="32.28"/>
    <n v="1941"/>
    <n v="8.41"/>
    <x v="0"/>
    <n v="2008"/>
    <x v="4"/>
    <s v="Acquired"/>
    <x v="0"/>
  </r>
  <r>
    <x v="31"/>
    <x v="2"/>
    <x v="0"/>
    <n v="244.61"/>
    <n v="2885.12"/>
    <n v="63.69"/>
    <n v="2161"/>
    <n v="7.54"/>
    <x v="0"/>
    <n v="2009"/>
    <x v="2"/>
    <s v="Private"/>
    <x v="0"/>
  </r>
  <r>
    <x v="32"/>
    <x v="3"/>
    <x v="1"/>
    <n v="149.68"/>
    <n v="740.7"/>
    <n v="14.99"/>
    <n v="3812"/>
    <n v="2.36"/>
    <x v="0"/>
    <n v="2021"/>
    <x v="0"/>
    <s v="Private"/>
    <x v="1"/>
  </r>
  <r>
    <x v="33"/>
    <x v="3"/>
    <x v="0"/>
    <n v="20.62"/>
    <n v="108.47"/>
    <n v="69.569999999999993"/>
    <n v="1306"/>
    <n v="9.57"/>
    <x v="0"/>
    <n v="2013"/>
    <x v="1"/>
    <s v="Private"/>
    <x v="1"/>
  </r>
  <r>
    <x v="34"/>
    <x v="4"/>
    <x v="4"/>
    <n v="121.87"/>
    <n v="1434.4"/>
    <n v="74.62"/>
    <n v="4168"/>
    <n v="1.57"/>
    <x v="1"/>
    <n v="2006"/>
    <x v="2"/>
    <s v="Private"/>
    <x v="0"/>
  </r>
  <r>
    <x v="35"/>
    <x v="6"/>
    <x v="0"/>
    <n v="149.49"/>
    <n v="728.61"/>
    <n v="98.2"/>
    <n v="3145"/>
    <n v="6.83"/>
    <x v="0"/>
    <n v="1996"/>
    <x v="1"/>
    <s v="Private"/>
    <x v="0"/>
  </r>
  <r>
    <x v="36"/>
    <x v="2"/>
    <x v="3"/>
    <n v="216.2"/>
    <n v="1257.1500000000001"/>
    <n v="21.06"/>
    <n v="3241"/>
    <n v="2.33"/>
    <x v="0"/>
    <n v="1990"/>
    <x v="0"/>
    <s v="Private"/>
    <x v="0"/>
  </r>
  <r>
    <x v="37"/>
    <x v="0"/>
    <x v="0"/>
    <n v="32.42"/>
    <n v="472.04"/>
    <n v="82.53"/>
    <n v="2357"/>
    <n v="4.37"/>
    <x v="0"/>
    <n v="2021"/>
    <x v="4"/>
    <s v="Private"/>
    <x v="1"/>
  </r>
  <r>
    <x v="38"/>
    <x v="1"/>
    <x v="1"/>
    <n v="42.44"/>
    <n v="257.33999999999997"/>
    <n v="52.08"/>
    <n v="1937"/>
    <n v="7.22"/>
    <x v="1"/>
    <n v="2002"/>
    <x v="4"/>
    <s v="Private"/>
    <x v="0"/>
  </r>
  <r>
    <x v="39"/>
    <x v="5"/>
    <x v="2"/>
    <n v="79.47"/>
    <n v="869.37"/>
    <n v="37.409999999999997"/>
    <n v="2726"/>
    <n v="5.68"/>
    <x v="1"/>
    <n v="1995"/>
    <x v="0"/>
    <s v="Acquired"/>
    <x v="0"/>
  </r>
  <r>
    <x v="40"/>
    <x v="0"/>
    <x v="0"/>
    <n v="80.319999999999993"/>
    <n v="1184.2"/>
    <n v="12.33"/>
    <n v="369"/>
    <n v="4.33"/>
    <x v="0"/>
    <n v="2003"/>
    <x v="1"/>
    <s v="Private"/>
    <x v="0"/>
  </r>
  <r>
    <x v="41"/>
    <x v="5"/>
    <x v="1"/>
    <n v="219.79"/>
    <n v="1646.57"/>
    <n v="73.58"/>
    <n v="4921"/>
    <n v="3.33"/>
    <x v="0"/>
    <n v="2004"/>
    <x v="2"/>
    <s v="Private"/>
    <x v="0"/>
  </r>
  <r>
    <x v="42"/>
    <x v="4"/>
    <x v="1"/>
    <n v="75.59"/>
    <n v="242.66"/>
    <n v="23.66"/>
    <n v="2395"/>
    <n v="8.41"/>
    <x v="1"/>
    <n v="1993"/>
    <x v="0"/>
    <s v="Private"/>
    <x v="0"/>
  </r>
  <r>
    <x v="43"/>
    <x v="5"/>
    <x v="3"/>
    <n v="190.11"/>
    <n v="1127.31"/>
    <n v="37.21"/>
    <n v="951"/>
    <n v="1.52"/>
    <x v="0"/>
    <n v="2005"/>
    <x v="3"/>
    <s v="Private"/>
    <x v="0"/>
  </r>
  <r>
    <x v="44"/>
    <x v="3"/>
    <x v="1"/>
    <n v="148.54"/>
    <n v="1926.64"/>
    <n v="6.35"/>
    <n v="1382"/>
    <n v="4.3600000000000003"/>
    <x v="0"/>
    <n v="2017"/>
    <x v="1"/>
    <s v="Private"/>
    <x v="1"/>
  </r>
  <r>
    <x v="45"/>
    <x v="2"/>
    <x v="1"/>
    <n v="172.2"/>
    <n v="2303.23"/>
    <n v="80.16"/>
    <n v="1444"/>
    <n v="9.0500000000000007"/>
    <x v="1"/>
    <n v="2005"/>
    <x v="4"/>
    <s v="Private"/>
    <x v="0"/>
  </r>
  <r>
    <x v="46"/>
    <x v="1"/>
    <x v="1"/>
    <n v="251.51"/>
    <n v="3074.01"/>
    <n v="76.680000000000007"/>
    <n v="3185"/>
    <n v="8.4700000000000006"/>
    <x v="1"/>
    <n v="1993"/>
    <x v="0"/>
    <s v="IPO"/>
    <x v="0"/>
  </r>
  <r>
    <x v="47"/>
    <x v="7"/>
    <x v="1"/>
    <n v="121.61"/>
    <n v="529.89"/>
    <n v="73.39"/>
    <n v="4862"/>
    <n v="4.07"/>
    <x v="0"/>
    <n v="2015"/>
    <x v="4"/>
    <s v="Private"/>
    <x v="1"/>
  </r>
  <r>
    <x v="48"/>
    <x v="5"/>
    <x v="4"/>
    <n v="231.39"/>
    <n v="2903.05"/>
    <n v="30.01"/>
    <n v="345"/>
    <n v="7.65"/>
    <x v="1"/>
    <n v="2017"/>
    <x v="1"/>
    <s v="Private"/>
    <x v="1"/>
  </r>
  <r>
    <x v="49"/>
    <x v="0"/>
    <x v="4"/>
    <n v="126.9"/>
    <n v="1779.66"/>
    <n v="17.43"/>
    <n v="2994"/>
    <n v="8.25"/>
    <x v="1"/>
    <n v="2021"/>
    <x v="4"/>
    <s v="Private"/>
    <x v="1"/>
  </r>
  <r>
    <x v="50"/>
    <x v="3"/>
    <x v="3"/>
    <n v="106.48"/>
    <n v="1086.8699999999999"/>
    <n v="63.79"/>
    <n v="387"/>
    <n v="8.9"/>
    <x v="0"/>
    <n v="1991"/>
    <x v="0"/>
    <s v="Acquired"/>
    <x v="0"/>
  </r>
  <r>
    <x v="51"/>
    <x v="7"/>
    <x v="0"/>
    <n v="287.61"/>
    <n v="4110.09"/>
    <n v="49.67"/>
    <n v="1561"/>
    <n v="5.49"/>
    <x v="1"/>
    <n v="2020"/>
    <x v="1"/>
    <s v="Private"/>
    <x v="1"/>
  </r>
  <r>
    <x v="52"/>
    <x v="1"/>
    <x v="1"/>
    <n v="55.72"/>
    <n v="720.02"/>
    <n v="17.91"/>
    <n v="304"/>
    <n v="2.12"/>
    <x v="1"/>
    <n v="1992"/>
    <x v="3"/>
    <s v="Private"/>
    <x v="0"/>
  </r>
  <r>
    <x v="53"/>
    <x v="7"/>
    <x v="0"/>
    <n v="27.56"/>
    <n v="303.26"/>
    <n v="68.62"/>
    <n v="143"/>
    <n v="2.63"/>
    <x v="1"/>
    <n v="1997"/>
    <x v="0"/>
    <s v="Acquired"/>
    <x v="0"/>
  </r>
  <r>
    <x v="54"/>
    <x v="3"/>
    <x v="0"/>
    <n v="231.41"/>
    <n v="2297.0300000000002"/>
    <n v="99.11"/>
    <n v="363"/>
    <n v="3.03"/>
    <x v="1"/>
    <n v="2013"/>
    <x v="2"/>
    <s v="Private"/>
    <x v="1"/>
  </r>
  <r>
    <x v="55"/>
    <x v="2"/>
    <x v="3"/>
    <n v="20.94"/>
    <n v="150.41"/>
    <n v="74.75"/>
    <n v="4936"/>
    <n v="5.98"/>
    <x v="0"/>
    <n v="2004"/>
    <x v="0"/>
    <s v="IPO"/>
    <x v="0"/>
  </r>
  <r>
    <x v="56"/>
    <x v="2"/>
    <x v="1"/>
    <n v="251.21"/>
    <n v="1233.81"/>
    <n v="74.02"/>
    <n v="1527"/>
    <n v="0.42"/>
    <x v="0"/>
    <n v="2020"/>
    <x v="1"/>
    <s v="Private"/>
    <x v="1"/>
  </r>
  <r>
    <x v="57"/>
    <x v="6"/>
    <x v="1"/>
    <n v="131.44"/>
    <n v="1348.5"/>
    <n v="95.04"/>
    <n v="3461"/>
    <n v="6.4"/>
    <x v="0"/>
    <n v="1998"/>
    <x v="0"/>
    <s v="Private"/>
    <x v="0"/>
  </r>
  <r>
    <x v="58"/>
    <x v="2"/>
    <x v="2"/>
    <n v="274.7"/>
    <n v="1872.72"/>
    <n v="20.37"/>
    <n v="1632"/>
    <n v="3.71"/>
    <x v="0"/>
    <n v="1991"/>
    <x v="3"/>
    <s v="Private"/>
    <x v="0"/>
  </r>
  <r>
    <x v="59"/>
    <x v="6"/>
    <x v="0"/>
    <n v="216.6"/>
    <n v="2901.85"/>
    <n v="56.6"/>
    <n v="1308"/>
    <n v="3.02"/>
    <x v="0"/>
    <n v="1997"/>
    <x v="3"/>
    <s v="Acquired"/>
    <x v="0"/>
  </r>
  <r>
    <x v="60"/>
    <x v="7"/>
    <x v="0"/>
    <n v="183.32"/>
    <n v="2735.14"/>
    <n v="97.97"/>
    <n v="1139"/>
    <n v="8.81"/>
    <x v="1"/>
    <n v="1996"/>
    <x v="2"/>
    <s v="Private"/>
    <x v="0"/>
  </r>
  <r>
    <x v="61"/>
    <x v="4"/>
    <x v="4"/>
    <n v="284.82"/>
    <n v="3426.14"/>
    <n v="16.61"/>
    <n v="2191"/>
    <n v="4.6500000000000004"/>
    <x v="1"/>
    <n v="2005"/>
    <x v="4"/>
    <s v="IPO"/>
    <x v="0"/>
  </r>
  <r>
    <x v="62"/>
    <x v="0"/>
    <x v="2"/>
    <n v="119.3"/>
    <n v="487.43"/>
    <n v="70.06"/>
    <n v="3175"/>
    <n v="1.04"/>
    <x v="1"/>
    <n v="2019"/>
    <x v="1"/>
    <s v="IPO"/>
    <x v="1"/>
  </r>
  <r>
    <x v="63"/>
    <x v="0"/>
    <x v="4"/>
    <n v="286.25"/>
    <n v="1850.39"/>
    <n v="58.62"/>
    <n v="3840"/>
    <n v="8.2799999999999994"/>
    <x v="1"/>
    <n v="1999"/>
    <x v="1"/>
    <s v="Acquired"/>
    <x v="0"/>
  </r>
  <r>
    <x v="64"/>
    <x v="7"/>
    <x v="4"/>
    <n v="40.93"/>
    <n v="176.38"/>
    <n v="58.69"/>
    <n v="2156"/>
    <n v="0.56999999999999995"/>
    <x v="1"/>
    <n v="2007"/>
    <x v="4"/>
    <s v="Acquired"/>
    <x v="0"/>
  </r>
  <r>
    <x v="65"/>
    <x v="5"/>
    <x v="4"/>
    <n v="145.38"/>
    <n v="1571"/>
    <n v="69.8"/>
    <n v="1242"/>
    <n v="7.29"/>
    <x v="0"/>
    <n v="1994"/>
    <x v="3"/>
    <s v="Private"/>
    <x v="0"/>
  </r>
  <r>
    <x v="66"/>
    <x v="5"/>
    <x v="3"/>
    <n v="81.34"/>
    <n v="990.91"/>
    <n v="92.97"/>
    <n v="3740"/>
    <n v="7.76"/>
    <x v="0"/>
    <n v="2018"/>
    <x v="3"/>
    <s v="IPO"/>
    <x v="1"/>
  </r>
  <r>
    <x v="67"/>
    <x v="2"/>
    <x v="3"/>
    <n v="162.18"/>
    <n v="2288.0500000000002"/>
    <n v="78.28"/>
    <n v="2839"/>
    <n v="3.59"/>
    <x v="0"/>
    <n v="2012"/>
    <x v="0"/>
    <s v="Private"/>
    <x v="1"/>
  </r>
  <r>
    <x v="68"/>
    <x v="0"/>
    <x v="4"/>
    <n v="49.02"/>
    <n v="404.81"/>
    <n v="5.71"/>
    <n v="4265"/>
    <n v="8.27"/>
    <x v="1"/>
    <n v="1994"/>
    <x v="2"/>
    <s v="Private"/>
    <x v="0"/>
  </r>
  <r>
    <x v="69"/>
    <x v="0"/>
    <x v="2"/>
    <n v="252.54"/>
    <n v="3489.22"/>
    <n v="85.29"/>
    <n v="1003"/>
    <n v="5.21"/>
    <x v="0"/>
    <n v="2019"/>
    <x v="2"/>
    <s v="Private"/>
    <x v="1"/>
  </r>
  <r>
    <x v="70"/>
    <x v="6"/>
    <x v="0"/>
    <n v="254"/>
    <n v="3437.81"/>
    <n v="22.63"/>
    <n v="2572"/>
    <n v="4.6900000000000004"/>
    <x v="1"/>
    <n v="1995"/>
    <x v="2"/>
    <s v="Private"/>
    <x v="0"/>
  </r>
  <r>
    <x v="71"/>
    <x v="4"/>
    <x v="2"/>
    <n v="286.58999999999997"/>
    <n v="1950.63"/>
    <n v="37.75"/>
    <n v="1312"/>
    <n v="0.55000000000000004"/>
    <x v="0"/>
    <n v="1993"/>
    <x v="0"/>
    <s v="Private"/>
    <x v="0"/>
  </r>
  <r>
    <x v="72"/>
    <x v="3"/>
    <x v="1"/>
    <n v="46.82"/>
    <n v="628.64"/>
    <n v="46.23"/>
    <n v="661"/>
    <n v="2.97"/>
    <x v="1"/>
    <n v="2018"/>
    <x v="2"/>
    <s v="Private"/>
    <x v="1"/>
  </r>
  <r>
    <x v="73"/>
    <x v="5"/>
    <x v="3"/>
    <n v="187.19"/>
    <n v="1405.44"/>
    <n v="48.14"/>
    <n v="2665"/>
    <n v="9.32"/>
    <x v="1"/>
    <n v="2012"/>
    <x v="4"/>
    <s v="Acquired"/>
    <x v="1"/>
  </r>
  <r>
    <x v="74"/>
    <x v="0"/>
    <x v="0"/>
    <n v="142.53"/>
    <n v="935.34"/>
    <n v="43.57"/>
    <n v="2216"/>
    <n v="3.98"/>
    <x v="1"/>
    <n v="1995"/>
    <x v="0"/>
    <s v="Private"/>
    <x v="0"/>
  </r>
  <r>
    <x v="75"/>
    <x v="6"/>
    <x v="0"/>
    <n v="103.64"/>
    <n v="1118.1600000000001"/>
    <n v="93.74"/>
    <n v="1914"/>
    <n v="5.51"/>
    <x v="1"/>
    <n v="2021"/>
    <x v="4"/>
    <s v="Acquired"/>
    <x v="1"/>
  </r>
  <r>
    <x v="76"/>
    <x v="1"/>
    <x v="1"/>
    <n v="105.79"/>
    <n v="734.24"/>
    <n v="70.63"/>
    <n v="3735"/>
    <n v="5.37"/>
    <x v="1"/>
    <n v="2007"/>
    <x v="0"/>
    <s v="IPO"/>
    <x v="0"/>
  </r>
  <r>
    <x v="77"/>
    <x v="6"/>
    <x v="1"/>
    <n v="124.13"/>
    <n v="1311.12"/>
    <n v="63.15"/>
    <n v="2051"/>
    <n v="5.95"/>
    <x v="1"/>
    <n v="2004"/>
    <x v="2"/>
    <s v="IPO"/>
    <x v="0"/>
  </r>
  <r>
    <x v="78"/>
    <x v="5"/>
    <x v="4"/>
    <n v="211.63"/>
    <n v="2183.59"/>
    <n v="5.08"/>
    <n v="3167"/>
    <n v="0.71"/>
    <x v="1"/>
    <n v="2021"/>
    <x v="4"/>
    <s v="Private"/>
    <x v="1"/>
  </r>
  <r>
    <x v="79"/>
    <x v="5"/>
    <x v="3"/>
    <n v="179.69"/>
    <n v="1754"/>
    <n v="90.4"/>
    <n v="1145"/>
    <n v="3.69"/>
    <x v="1"/>
    <n v="1998"/>
    <x v="4"/>
    <s v="Acquired"/>
    <x v="0"/>
  </r>
  <r>
    <x v="80"/>
    <x v="6"/>
    <x v="3"/>
    <n v="138.16999999999999"/>
    <n v="1045.26"/>
    <n v="90.95"/>
    <n v="271"/>
    <n v="7.26"/>
    <x v="1"/>
    <n v="1999"/>
    <x v="4"/>
    <s v="Private"/>
    <x v="0"/>
  </r>
  <r>
    <x v="81"/>
    <x v="3"/>
    <x v="2"/>
    <n v="23.24"/>
    <n v="222.69"/>
    <n v="78.040000000000006"/>
    <n v="1850"/>
    <n v="2.09"/>
    <x v="0"/>
    <n v="2009"/>
    <x v="0"/>
    <s v="Acquired"/>
    <x v="0"/>
  </r>
  <r>
    <x v="82"/>
    <x v="7"/>
    <x v="4"/>
    <n v="23.79"/>
    <n v="241.65"/>
    <n v="0.8"/>
    <n v="1713"/>
    <n v="2.12"/>
    <x v="0"/>
    <n v="1995"/>
    <x v="1"/>
    <s v="Private"/>
    <x v="0"/>
  </r>
  <r>
    <x v="83"/>
    <x v="5"/>
    <x v="4"/>
    <n v="1.2"/>
    <n v="11.46"/>
    <n v="5.82"/>
    <n v="3635"/>
    <n v="0.2"/>
    <x v="0"/>
    <n v="1992"/>
    <x v="2"/>
    <s v="Acquired"/>
    <x v="0"/>
  </r>
  <r>
    <x v="84"/>
    <x v="6"/>
    <x v="4"/>
    <n v="290.33"/>
    <n v="2419.33"/>
    <n v="22.6"/>
    <n v="3216"/>
    <n v="4.43"/>
    <x v="0"/>
    <n v="2000"/>
    <x v="4"/>
    <s v="Acquired"/>
    <x v="0"/>
  </r>
  <r>
    <x v="85"/>
    <x v="0"/>
    <x v="4"/>
    <n v="2.0699999999999998"/>
    <n v="6.57"/>
    <n v="13.22"/>
    <n v="2298"/>
    <n v="8.84"/>
    <x v="0"/>
    <n v="2006"/>
    <x v="1"/>
    <s v="Private"/>
    <x v="0"/>
  </r>
  <r>
    <x v="86"/>
    <x v="6"/>
    <x v="3"/>
    <n v="31.38"/>
    <n v="315.2"/>
    <n v="39.94"/>
    <n v="3737"/>
    <n v="0.61"/>
    <x v="1"/>
    <n v="2021"/>
    <x v="2"/>
    <s v="Acquired"/>
    <x v="1"/>
  </r>
  <r>
    <x v="87"/>
    <x v="4"/>
    <x v="3"/>
    <n v="94.72"/>
    <n v="475.62"/>
    <n v="92.27"/>
    <n v="3834"/>
    <n v="1.99"/>
    <x v="1"/>
    <n v="1993"/>
    <x v="2"/>
    <s v="Private"/>
    <x v="0"/>
  </r>
  <r>
    <x v="88"/>
    <x v="7"/>
    <x v="4"/>
    <n v="242.33"/>
    <n v="2595.58"/>
    <n v="47.26"/>
    <n v="1515"/>
    <n v="3.17"/>
    <x v="1"/>
    <n v="1993"/>
    <x v="4"/>
    <s v="Private"/>
    <x v="0"/>
  </r>
  <r>
    <x v="89"/>
    <x v="1"/>
    <x v="2"/>
    <n v="288.64999999999998"/>
    <n v="3496.17"/>
    <n v="1.44"/>
    <n v="480"/>
    <n v="7.34"/>
    <x v="0"/>
    <n v="2006"/>
    <x v="4"/>
    <s v="Acquired"/>
    <x v="0"/>
  </r>
  <r>
    <x v="90"/>
    <x v="3"/>
    <x v="0"/>
    <n v="237.11"/>
    <n v="2135.2600000000002"/>
    <n v="28.35"/>
    <n v="981"/>
    <n v="6.44"/>
    <x v="0"/>
    <n v="2008"/>
    <x v="0"/>
    <s v="Private"/>
    <x v="0"/>
  </r>
  <r>
    <x v="91"/>
    <x v="2"/>
    <x v="0"/>
    <n v="207.32"/>
    <n v="1971.27"/>
    <n v="4.5599999999999996"/>
    <n v="1212"/>
    <n v="4.22"/>
    <x v="0"/>
    <n v="1994"/>
    <x v="1"/>
    <s v="IPO"/>
    <x v="0"/>
  </r>
  <r>
    <x v="92"/>
    <x v="1"/>
    <x v="2"/>
    <n v="156.63"/>
    <n v="2258.25"/>
    <n v="3.73"/>
    <n v="1965"/>
    <n v="7.61"/>
    <x v="0"/>
    <n v="2021"/>
    <x v="1"/>
    <s v="Private"/>
    <x v="1"/>
  </r>
  <r>
    <x v="93"/>
    <x v="7"/>
    <x v="4"/>
    <n v="26.47"/>
    <n v="348.5"/>
    <n v="27.64"/>
    <n v="562"/>
    <n v="6.14"/>
    <x v="0"/>
    <n v="2011"/>
    <x v="4"/>
    <s v="Acquired"/>
    <x v="1"/>
  </r>
  <r>
    <x v="94"/>
    <x v="7"/>
    <x v="3"/>
    <n v="287.47000000000003"/>
    <n v="4016.2"/>
    <n v="27.63"/>
    <n v="887"/>
    <n v="8.9700000000000006"/>
    <x v="0"/>
    <n v="1995"/>
    <x v="2"/>
    <s v="Private"/>
    <x v="0"/>
  </r>
  <r>
    <x v="95"/>
    <x v="7"/>
    <x v="0"/>
    <n v="227.64"/>
    <n v="2905.87"/>
    <n v="78.73"/>
    <n v="2199"/>
    <n v="8.1999999999999993"/>
    <x v="1"/>
    <n v="2011"/>
    <x v="4"/>
    <s v="Acquired"/>
    <x v="1"/>
  </r>
  <r>
    <x v="96"/>
    <x v="1"/>
    <x v="1"/>
    <n v="191.87"/>
    <n v="826.39"/>
    <n v="97.49"/>
    <n v="4766"/>
    <n v="2.6"/>
    <x v="1"/>
    <n v="1990"/>
    <x v="2"/>
    <s v="Private"/>
    <x v="0"/>
  </r>
  <r>
    <x v="97"/>
    <x v="0"/>
    <x v="1"/>
    <n v="227.83"/>
    <n v="1090.83"/>
    <n v="37.18"/>
    <n v="2672"/>
    <n v="2.79"/>
    <x v="0"/>
    <n v="2009"/>
    <x v="2"/>
    <s v="Private"/>
    <x v="0"/>
  </r>
  <r>
    <x v="98"/>
    <x v="7"/>
    <x v="2"/>
    <n v="217.37"/>
    <n v="2025.78"/>
    <n v="42.95"/>
    <n v="4964"/>
    <n v="1.34"/>
    <x v="0"/>
    <n v="2011"/>
    <x v="4"/>
    <s v="Private"/>
    <x v="1"/>
  </r>
  <r>
    <x v="99"/>
    <x v="6"/>
    <x v="4"/>
    <n v="191.35"/>
    <n v="1139.08"/>
    <n v="84.49"/>
    <n v="4682"/>
    <n v="3.44"/>
    <x v="0"/>
    <n v="2000"/>
    <x v="3"/>
    <s v="Private"/>
    <x v="0"/>
  </r>
  <r>
    <x v="100"/>
    <x v="1"/>
    <x v="0"/>
    <n v="294.18"/>
    <n v="2565.35"/>
    <n v="26.89"/>
    <n v="4795"/>
    <n v="10"/>
    <x v="0"/>
    <n v="2002"/>
    <x v="1"/>
    <s v="Private"/>
    <x v="0"/>
  </r>
  <r>
    <x v="101"/>
    <x v="2"/>
    <x v="4"/>
    <n v="271.06"/>
    <n v="2095.94"/>
    <n v="15.72"/>
    <n v="1615"/>
    <n v="4.12"/>
    <x v="1"/>
    <n v="1992"/>
    <x v="2"/>
    <s v="Private"/>
    <x v="0"/>
  </r>
  <r>
    <x v="102"/>
    <x v="7"/>
    <x v="0"/>
    <n v="194.18"/>
    <n v="1862.76"/>
    <n v="85.32"/>
    <n v="3493"/>
    <n v="2.2799999999999998"/>
    <x v="0"/>
    <n v="1998"/>
    <x v="2"/>
    <s v="Acquired"/>
    <x v="0"/>
  </r>
  <r>
    <x v="103"/>
    <x v="6"/>
    <x v="2"/>
    <n v="208.11"/>
    <n v="2489.52"/>
    <n v="4.75"/>
    <n v="2459"/>
    <n v="7.65"/>
    <x v="0"/>
    <n v="2001"/>
    <x v="3"/>
    <s v="IPO"/>
    <x v="0"/>
  </r>
  <r>
    <x v="104"/>
    <x v="0"/>
    <x v="2"/>
    <n v="15.95"/>
    <n v="184.79"/>
    <n v="62.01"/>
    <n v="4499"/>
    <n v="5.47"/>
    <x v="0"/>
    <n v="2012"/>
    <x v="0"/>
    <s v="IPO"/>
    <x v="1"/>
  </r>
  <r>
    <x v="105"/>
    <x v="4"/>
    <x v="1"/>
    <n v="201.14"/>
    <n v="1861.51"/>
    <n v="56.24"/>
    <n v="1951"/>
    <n v="1.58"/>
    <x v="0"/>
    <n v="2003"/>
    <x v="3"/>
    <s v="Private"/>
    <x v="0"/>
  </r>
  <r>
    <x v="106"/>
    <x v="0"/>
    <x v="4"/>
    <n v="13.73"/>
    <n v="176.69"/>
    <n v="34.659999999999997"/>
    <n v="4815"/>
    <n v="3.87"/>
    <x v="1"/>
    <n v="2022"/>
    <x v="3"/>
    <s v="Private"/>
    <x v="1"/>
  </r>
  <r>
    <x v="107"/>
    <x v="2"/>
    <x v="1"/>
    <n v="176.68"/>
    <n v="1443.54"/>
    <n v="31.59"/>
    <n v="4804"/>
    <n v="4.2"/>
    <x v="1"/>
    <n v="2007"/>
    <x v="2"/>
    <s v="Private"/>
    <x v="0"/>
  </r>
  <r>
    <x v="108"/>
    <x v="7"/>
    <x v="4"/>
    <n v="299.81"/>
    <n v="4125.5600000000004"/>
    <n v="77.209999999999994"/>
    <n v="2813"/>
    <n v="7.56"/>
    <x v="1"/>
    <n v="1998"/>
    <x v="1"/>
    <s v="Acquired"/>
    <x v="0"/>
  </r>
  <r>
    <x v="109"/>
    <x v="2"/>
    <x v="1"/>
    <n v="166.96"/>
    <n v="643.69000000000005"/>
    <n v="8.73"/>
    <n v="3830"/>
    <n v="0.3"/>
    <x v="0"/>
    <n v="2012"/>
    <x v="3"/>
    <s v="Private"/>
    <x v="1"/>
  </r>
  <r>
    <x v="110"/>
    <x v="1"/>
    <x v="3"/>
    <n v="142.22999999999999"/>
    <n v="2056.0700000000002"/>
    <n v="23.75"/>
    <n v="3541"/>
    <n v="2.76"/>
    <x v="0"/>
    <n v="1999"/>
    <x v="0"/>
    <s v="Acquired"/>
    <x v="0"/>
  </r>
  <r>
    <x v="111"/>
    <x v="5"/>
    <x v="3"/>
    <n v="94.2"/>
    <n v="1022.67"/>
    <n v="73.27"/>
    <n v="3807"/>
    <n v="5.22"/>
    <x v="0"/>
    <n v="2008"/>
    <x v="4"/>
    <s v="Private"/>
    <x v="0"/>
  </r>
  <r>
    <x v="112"/>
    <x v="7"/>
    <x v="3"/>
    <n v="36.6"/>
    <n v="276.73"/>
    <n v="54.88"/>
    <n v="4182"/>
    <n v="2.76"/>
    <x v="1"/>
    <n v="1994"/>
    <x v="3"/>
    <s v="Private"/>
    <x v="0"/>
  </r>
  <r>
    <x v="113"/>
    <x v="5"/>
    <x v="3"/>
    <n v="219.44"/>
    <n v="1177.48"/>
    <n v="12.89"/>
    <n v="4704"/>
    <n v="6.32"/>
    <x v="0"/>
    <n v="2012"/>
    <x v="3"/>
    <s v="Private"/>
    <x v="1"/>
  </r>
  <r>
    <x v="114"/>
    <x v="6"/>
    <x v="0"/>
    <n v="58.18"/>
    <n v="509.09"/>
    <n v="88.23"/>
    <n v="1975"/>
    <n v="4.87"/>
    <x v="0"/>
    <n v="2019"/>
    <x v="0"/>
    <s v="Private"/>
    <x v="1"/>
  </r>
  <r>
    <x v="115"/>
    <x v="4"/>
    <x v="3"/>
    <n v="35.03"/>
    <n v="186.87"/>
    <n v="39.409999999999997"/>
    <n v="3827"/>
    <n v="3.68"/>
    <x v="1"/>
    <n v="2014"/>
    <x v="1"/>
    <s v="Private"/>
    <x v="1"/>
  </r>
  <r>
    <x v="116"/>
    <x v="3"/>
    <x v="2"/>
    <n v="126.82"/>
    <n v="633.59"/>
    <n v="82.8"/>
    <n v="2824"/>
    <n v="9.5"/>
    <x v="1"/>
    <n v="2017"/>
    <x v="3"/>
    <s v="Acquired"/>
    <x v="1"/>
  </r>
  <r>
    <x v="117"/>
    <x v="2"/>
    <x v="2"/>
    <n v="238.7"/>
    <n v="2484.44"/>
    <n v="78.790000000000006"/>
    <n v="907"/>
    <n v="6.36"/>
    <x v="0"/>
    <n v="2014"/>
    <x v="3"/>
    <s v="Private"/>
    <x v="1"/>
  </r>
  <r>
    <x v="118"/>
    <x v="0"/>
    <x v="0"/>
    <n v="223.65"/>
    <n v="2074.8000000000002"/>
    <n v="62.48"/>
    <n v="369"/>
    <n v="1.39"/>
    <x v="0"/>
    <n v="1999"/>
    <x v="1"/>
    <s v="Acquired"/>
    <x v="0"/>
  </r>
  <r>
    <x v="119"/>
    <x v="4"/>
    <x v="3"/>
    <n v="16.940000000000001"/>
    <n v="187.04"/>
    <n v="49.5"/>
    <n v="4263"/>
    <n v="5.64"/>
    <x v="0"/>
    <n v="2003"/>
    <x v="0"/>
    <s v="Private"/>
    <x v="0"/>
  </r>
  <r>
    <x v="120"/>
    <x v="7"/>
    <x v="3"/>
    <n v="136.82"/>
    <n v="1936.72"/>
    <n v="97.96"/>
    <n v="3124"/>
    <n v="7.83"/>
    <x v="1"/>
    <n v="2019"/>
    <x v="3"/>
    <s v="Private"/>
    <x v="1"/>
  </r>
  <r>
    <x v="121"/>
    <x v="5"/>
    <x v="3"/>
    <n v="156.97"/>
    <n v="1473.5"/>
    <n v="14.58"/>
    <n v="2563"/>
    <n v="7.11"/>
    <x v="0"/>
    <n v="2014"/>
    <x v="1"/>
    <s v="Acquired"/>
    <x v="1"/>
  </r>
  <r>
    <x v="122"/>
    <x v="0"/>
    <x v="1"/>
    <n v="193.54"/>
    <n v="1929.82"/>
    <n v="72.540000000000006"/>
    <n v="1868"/>
    <n v="1.8"/>
    <x v="1"/>
    <n v="2003"/>
    <x v="3"/>
    <s v="IPO"/>
    <x v="0"/>
  </r>
  <r>
    <x v="123"/>
    <x v="5"/>
    <x v="4"/>
    <n v="195.23"/>
    <n v="795.66"/>
    <n v="19.2"/>
    <n v="120"/>
    <n v="9.73"/>
    <x v="0"/>
    <n v="1999"/>
    <x v="4"/>
    <s v="Private"/>
    <x v="0"/>
  </r>
  <r>
    <x v="124"/>
    <x v="1"/>
    <x v="1"/>
    <n v="109.73"/>
    <n v="1274.1400000000001"/>
    <n v="33.89"/>
    <n v="2389"/>
    <n v="4.54"/>
    <x v="1"/>
    <n v="2000"/>
    <x v="2"/>
    <s v="Private"/>
    <x v="0"/>
  </r>
  <r>
    <x v="125"/>
    <x v="5"/>
    <x v="4"/>
    <n v="168.42"/>
    <n v="1313.48"/>
    <n v="30.94"/>
    <n v="4981"/>
    <n v="1.67"/>
    <x v="1"/>
    <n v="2000"/>
    <x v="4"/>
    <s v="Private"/>
    <x v="0"/>
  </r>
  <r>
    <x v="126"/>
    <x v="1"/>
    <x v="3"/>
    <n v="144.58000000000001"/>
    <n v="2128.3200000000002"/>
    <n v="94.71"/>
    <n v="3940"/>
    <n v="1.88"/>
    <x v="0"/>
    <n v="2010"/>
    <x v="3"/>
    <s v="Acquired"/>
    <x v="0"/>
  </r>
  <r>
    <x v="127"/>
    <x v="6"/>
    <x v="3"/>
    <n v="265.56"/>
    <n v="3419.91"/>
    <n v="96.74"/>
    <n v="4940"/>
    <n v="1.07"/>
    <x v="1"/>
    <n v="2010"/>
    <x v="0"/>
    <s v="Acquired"/>
    <x v="0"/>
  </r>
  <r>
    <x v="128"/>
    <x v="0"/>
    <x v="1"/>
    <n v="159.31"/>
    <n v="1476.77"/>
    <n v="18.38"/>
    <n v="2495"/>
    <n v="8.0500000000000007"/>
    <x v="0"/>
    <n v="2011"/>
    <x v="2"/>
    <s v="Private"/>
    <x v="1"/>
  </r>
  <r>
    <x v="129"/>
    <x v="0"/>
    <x v="1"/>
    <n v="132.59"/>
    <n v="593.83000000000004"/>
    <n v="2.2999999999999998"/>
    <n v="947"/>
    <n v="1.31"/>
    <x v="1"/>
    <n v="1996"/>
    <x v="4"/>
    <s v="Private"/>
    <x v="0"/>
  </r>
  <r>
    <x v="130"/>
    <x v="3"/>
    <x v="4"/>
    <n v="121.64"/>
    <n v="1619.39"/>
    <n v="72.03"/>
    <n v="1729"/>
    <n v="1.34"/>
    <x v="1"/>
    <n v="2006"/>
    <x v="1"/>
    <s v="Acquired"/>
    <x v="0"/>
  </r>
  <r>
    <x v="131"/>
    <x v="7"/>
    <x v="2"/>
    <n v="171.94"/>
    <n v="2165.9899999999998"/>
    <n v="41.86"/>
    <n v="2339"/>
    <n v="8.52"/>
    <x v="0"/>
    <n v="1991"/>
    <x v="0"/>
    <s v="Private"/>
    <x v="0"/>
  </r>
  <r>
    <x v="132"/>
    <x v="1"/>
    <x v="4"/>
    <n v="241.29"/>
    <n v="1258.33"/>
    <n v="8.98"/>
    <n v="2772"/>
    <n v="3.51"/>
    <x v="1"/>
    <n v="2001"/>
    <x v="4"/>
    <s v="Acquired"/>
    <x v="0"/>
  </r>
  <r>
    <x v="133"/>
    <x v="3"/>
    <x v="1"/>
    <n v="161.75"/>
    <n v="1058.3900000000001"/>
    <n v="68.41"/>
    <n v="1142"/>
    <n v="0.41"/>
    <x v="1"/>
    <n v="2007"/>
    <x v="1"/>
    <s v="Private"/>
    <x v="0"/>
  </r>
  <r>
    <x v="134"/>
    <x v="5"/>
    <x v="1"/>
    <n v="198.67"/>
    <n v="2487.52"/>
    <n v="54.56"/>
    <n v="2532"/>
    <n v="0.61"/>
    <x v="0"/>
    <n v="2000"/>
    <x v="3"/>
    <s v="Private"/>
    <x v="0"/>
  </r>
  <r>
    <x v="135"/>
    <x v="5"/>
    <x v="0"/>
    <n v="221.49"/>
    <n v="1156.78"/>
    <n v="98.05"/>
    <n v="4122"/>
    <n v="1.51"/>
    <x v="0"/>
    <n v="2005"/>
    <x v="1"/>
    <s v="Private"/>
    <x v="0"/>
  </r>
  <r>
    <x v="136"/>
    <x v="3"/>
    <x v="1"/>
    <n v="156.29"/>
    <n v="2190.1"/>
    <n v="22.82"/>
    <n v="3425"/>
    <n v="2.21"/>
    <x v="1"/>
    <n v="2007"/>
    <x v="4"/>
    <s v="Private"/>
    <x v="0"/>
  </r>
  <r>
    <x v="137"/>
    <x v="0"/>
    <x v="0"/>
    <n v="128.33000000000001"/>
    <n v="1038.75"/>
    <n v="40.46"/>
    <n v="4783"/>
    <n v="6.68"/>
    <x v="1"/>
    <n v="2015"/>
    <x v="4"/>
    <s v="Private"/>
    <x v="1"/>
  </r>
  <r>
    <x v="138"/>
    <x v="5"/>
    <x v="2"/>
    <n v="263.06"/>
    <n v="1063.94"/>
    <n v="54.3"/>
    <n v="3911"/>
    <n v="1.66"/>
    <x v="0"/>
    <n v="2005"/>
    <x v="3"/>
    <s v="Acquired"/>
    <x v="0"/>
  </r>
  <r>
    <x v="139"/>
    <x v="2"/>
    <x v="4"/>
    <n v="125.54"/>
    <n v="1605.53"/>
    <n v="79.19"/>
    <n v="3642"/>
    <n v="1.28"/>
    <x v="0"/>
    <n v="1995"/>
    <x v="1"/>
    <s v="Acquired"/>
    <x v="0"/>
  </r>
  <r>
    <x v="140"/>
    <x v="6"/>
    <x v="4"/>
    <n v="138.85"/>
    <n v="1038.8900000000001"/>
    <n v="54.93"/>
    <n v="2958"/>
    <n v="7.67"/>
    <x v="0"/>
    <n v="2001"/>
    <x v="1"/>
    <s v="Private"/>
    <x v="0"/>
  </r>
  <r>
    <x v="141"/>
    <x v="6"/>
    <x v="0"/>
    <n v="297.11"/>
    <n v="2768.47"/>
    <n v="61.33"/>
    <n v="2372"/>
    <n v="6.74"/>
    <x v="0"/>
    <n v="2002"/>
    <x v="3"/>
    <s v="Private"/>
    <x v="0"/>
  </r>
  <r>
    <x v="142"/>
    <x v="2"/>
    <x v="4"/>
    <n v="0.56999999999999995"/>
    <n v="2.48"/>
    <n v="22.69"/>
    <n v="4226"/>
    <n v="4.41"/>
    <x v="0"/>
    <n v="1993"/>
    <x v="1"/>
    <s v="Private"/>
    <x v="0"/>
  </r>
  <r>
    <x v="143"/>
    <x v="3"/>
    <x v="1"/>
    <n v="56.05"/>
    <n v="169.89"/>
    <n v="84.71"/>
    <n v="281"/>
    <n v="5.54"/>
    <x v="1"/>
    <n v="1991"/>
    <x v="3"/>
    <s v="Private"/>
    <x v="0"/>
  </r>
  <r>
    <x v="144"/>
    <x v="2"/>
    <x v="3"/>
    <n v="115.5"/>
    <n v="1230.75"/>
    <n v="42.92"/>
    <n v="2004"/>
    <n v="3.19"/>
    <x v="0"/>
    <n v="2015"/>
    <x v="0"/>
    <s v="Private"/>
    <x v="1"/>
  </r>
  <r>
    <x v="145"/>
    <x v="1"/>
    <x v="0"/>
    <n v="279.81"/>
    <n v="2569.2399999999998"/>
    <n v="14.18"/>
    <n v="1232"/>
    <n v="4.88"/>
    <x v="1"/>
    <n v="2016"/>
    <x v="4"/>
    <s v="Acquired"/>
    <x v="1"/>
  </r>
  <r>
    <x v="146"/>
    <x v="1"/>
    <x v="4"/>
    <n v="21.47"/>
    <n v="217.33"/>
    <n v="66.45"/>
    <n v="3757"/>
    <n v="5.12"/>
    <x v="0"/>
    <n v="2016"/>
    <x v="0"/>
    <s v="Private"/>
    <x v="1"/>
  </r>
  <r>
    <x v="147"/>
    <x v="3"/>
    <x v="0"/>
    <n v="3.34"/>
    <n v="41.83"/>
    <n v="21.69"/>
    <n v="3740"/>
    <n v="3.93"/>
    <x v="0"/>
    <n v="2004"/>
    <x v="2"/>
    <s v="Private"/>
    <x v="0"/>
  </r>
  <r>
    <x v="148"/>
    <x v="2"/>
    <x v="0"/>
    <n v="16.28"/>
    <n v="175.16"/>
    <n v="9.85"/>
    <n v="700"/>
    <n v="9.08"/>
    <x v="0"/>
    <n v="1997"/>
    <x v="2"/>
    <s v="Private"/>
    <x v="0"/>
  </r>
  <r>
    <x v="149"/>
    <x v="1"/>
    <x v="3"/>
    <n v="27.02"/>
    <n v="137.72999999999999"/>
    <n v="86.21"/>
    <n v="1314"/>
    <n v="0.26"/>
    <x v="0"/>
    <n v="1996"/>
    <x v="2"/>
    <s v="Private"/>
    <x v="0"/>
  </r>
  <r>
    <x v="150"/>
    <x v="0"/>
    <x v="1"/>
    <n v="11.76"/>
    <n v="86.19"/>
    <n v="46.07"/>
    <n v="4157"/>
    <n v="7.84"/>
    <x v="1"/>
    <n v="2001"/>
    <x v="3"/>
    <s v="Acquired"/>
    <x v="0"/>
  </r>
  <r>
    <x v="151"/>
    <x v="2"/>
    <x v="0"/>
    <n v="144.19"/>
    <n v="2000.02"/>
    <n v="74.95"/>
    <n v="3239"/>
    <n v="1.33"/>
    <x v="1"/>
    <n v="2002"/>
    <x v="1"/>
    <s v="Private"/>
    <x v="0"/>
  </r>
  <r>
    <x v="152"/>
    <x v="0"/>
    <x v="4"/>
    <n v="174.44"/>
    <n v="2135.0300000000002"/>
    <n v="29.13"/>
    <n v="4119"/>
    <n v="8"/>
    <x v="1"/>
    <n v="2006"/>
    <x v="0"/>
    <s v="Private"/>
    <x v="0"/>
  </r>
  <r>
    <x v="153"/>
    <x v="1"/>
    <x v="2"/>
    <n v="81.87"/>
    <n v="792.47"/>
    <n v="78.72"/>
    <n v="2316"/>
    <n v="6.2"/>
    <x v="1"/>
    <n v="2006"/>
    <x v="0"/>
    <s v="Private"/>
    <x v="0"/>
  </r>
  <r>
    <x v="154"/>
    <x v="6"/>
    <x v="0"/>
    <n v="119.79"/>
    <n v="726.85"/>
    <n v="11.28"/>
    <n v="2846"/>
    <n v="8.4499999999999993"/>
    <x v="1"/>
    <n v="2010"/>
    <x v="0"/>
    <s v="Acquired"/>
    <x v="0"/>
  </r>
  <r>
    <x v="155"/>
    <x v="1"/>
    <x v="0"/>
    <n v="27.96"/>
    <n v="185.23"/>
    <n v="35.659999999999997"/>
    <n v="4213"/>
    <n v="1.07"/>
    <x v="0"/>
    <n v="1997"/>
    <x v="0"/>
    <s v="Acquired"/>
    <x v="0"/>
  </r>
  <r>
    <x v="156"/>
    <x v="0"/>
    <x v="3"/>
    <n v="101.24"/>
    <n v="1192.96"/>
    <n v="97.81"/>
    <n v="3564"/>
    <n v="5.63"/>
    <x v="1"/>
    <n v="1994"/>
    <x v="2"/>
    <s v="IPO"/>
    <x v="0"/>
  </r>
  <r>
    <x v="157"/>
    <x v="4"/>
    <x v="1"/>
    <n v="156.99"/>
    <n v="2074.48"/>
    <n v="79.42"/>
    <n v="3403"/>
    <n v="5.0599999999999996"/>
    <x v="1"/>
    <n v="2015"/>
    <x v="0"/>
    <s v="IPO"/>
    <x v="1"/>
  </r>
  <r>
    <x v="158"/>
    <x v="7"/>
    <x v="2"/>
    <n v="219.82"/>
    <n v="2430.5700000000002"/>
    <n v="49.78"/>
    <n v="546"/>
    <n v="7.09"/>
    <x v="0"/>
    <n v="2005"/>
    <x v="1"/>
    <s v="Private"/>
    <x v="0"/>
  </r>
  <r>
    <x v="159"/>
    <x v="5"/>
    <x v="4"/>
    <n v="1.5"/>
    <n v="19.07"/>
    <n v="34.04"/>
    <n v="2699"/>
    <n v="5.39"/>
    <x v="1"/>
    <n v="2017"/>
    <x v="2"/>
    <s v="Private"/>
    <x v="1"/>
  </r>
  <r>
    <x v="160"/>
    <x v="2"/>
    <x v="2"/>
    <n v="140.46"/>
    <n v="1713.59"/>
    <n v="87.23"/>
    <n v="4679"/>
    <n v="5.45"/>
    <x v="0"/>
    <n v="2018"/>
    <x v="0"/>
    <s v="Private"/>
    <x v="1"/>
  </r>
  <r>
    <x v="161"/>
    <x v="4"/>
    <x v="4"/>
    <n v="89.45"/>
    <n v="429.04"/>
    <n v="54.53"/>
    <n v="1093"/>
    <n v="4.3499999999999996"/>
    <x v="0"/>
    <n v="2001"/>
    <x v="3"/>
    <s v="Private"/>
    <x v="0"/>
  </r>
  <r>
    <x v="162"/>
    <x v="1"/>
    <x v="1"/>
    <n v="255.92"/>
    <n v="2069.71"/>
    <n v="75.87"/>
    <n v="3368"/>
    <n v="3.16"/>
    <x v="1"/>
    <n v="2019"/>
    <x v="4"/>
    <s v="Private"/>
    <x v="1"/>
  </r>
  <r>
    <x v="163"/>
    <x v="6"/>
    <x v="4"/>
    <n v="214.81"/>
    <n v="1038.78"/>
    <n v="75.44"/>
    <n v="29"/>
    <n v="4.87"/>
    <x v="0"/>
    <n v="2012"/>
    <x v="4"/>
    <s v="IPO"/>
    <x v="1"/>
  </r>
  <r>
    <x v="164"/>
    <x v="3"/>
    <x v="3"/>
    <n v="176.94"/>
    <n v="1030.29"/>
    <n v="1.89"/>
    <n v="1577"/>
    <n v="1.27"/>
    <x v="0"/>
    <n v="2005"/>
    <x v="4"/>
    <s v="Private"/>
    <x v="0"/>
  </r>
  <r>
    <x v="165"/>
    <x v="1"/>
    <x v="3"/>
    <n v="83.54"/>
    <n v="1122.04"/>
    <n v="12.71"/>
    <n v="2963"/>
    <n v="9.6199999999999992"/>
    <x v="1"/>
    <n v="2003"/>
    <x v="2"/>
    <s v="Private"/>
    <x v="0"/>
  </r>
  <r>
    <x v="166"/>
    <x v="6"/>
    <x v="3"/>
    <n v="273.14999999999998"/>
    <n v="2369.5"/>
    <n v="66"/>
    <n v="4241"/>
    <n v="7.17"/>
    <x v="1"/>
    <n v="1999"/>
    <x v="0"/>
    <s v="Acquired"/>
    <x v="0"/>
  </r>
  <r>
    <x v="167"/>
    <x v="7"/>
    <x v="3"/>
    <n v="14.01"/>
    <n v="132.03"/>
    <n v="16.25"/>
    <n v="1772"/>
    <n v="9.5299999999999994"/>
    <x v="0"/>
    <n v="1996"/>
    <x v="2"/>
    <s v="Acquired"/>
    <x v="0"/>
  </r>
  <r>
    <x v="168"/>
    <x v="1"/>
    <x v="2"/>
    <n v="33.29"/>
    <n v="171.16"/>
    <n v="25.62"/>
    <n v="4748"/>
    <n v="2.34"/>
    <x v="1"/>
    <n v="2018"/>
    <x v="1"/>
    <s v="Private"/>
    <x v="1"/>
  </r>
  <r>
    <x v="169"/>
    <x v="0"/>
    <x v="1"/>
    <n v="117.79"/>
    <n v="794.76"/>
    <n v="94.67"/>
    <n v="2240"/>
    <n v="8.81"/>
    <x v="0"/>
    <n v="1992"/>
    <x v="3"/>
    <s v="Private"/>
    <x v="0"/>
  </r>
  <r>
    <x v="170"/>
    <x v="3"/>
    <x v="4"/>
    <n v="37.770000000000003"/>
    <n v="217.67"/>
    <n v="56.06"/>
    <n v="205"/>
    <n v="8.11"/>
    <x v="0"/>
    <n v="2004"/>
    <x v="3"/>
    <s v="Private"/>
    <x v="0"/>
  </r>
  <r>
    <x v="171"/>
    <x v="6"/>
    <x v="4"/>
    <n v="286.95"/>
    <n v="1570.83"/>
    <n v="75.099999999999994"/>
    <n v="3203"/>
    <n v="6.8"/>
    <x v="1"/>
    <n v="2008"/>
    <x v="4"/>
    <s v="Acquired"/>
    <x v="0"/>
  </r>
  <r>
    <x v="172"/>
    <x v="6"/>
    <x v="3"/>
    <n v="239.5"/>
    <n v="2552"/>
    <n v="55.84"/>
    <n v="261"/>
    <n v="6.29"/>
    <x v="1"/>
    <n v="2002"/>
    <x v="4"/>
    <s v="Private"/>
    <x v="0"/>
  </r>
  <r>
    <x v="173"/>
    <x v="6"/>
    <x v="3"/>
    <n v="78.069999999999993"/>
    <n v="474.87"/>
    <n v="55.3"/>
    <n v="3752"/>
    <n v="3.23"/>
    <x v="0"/>
    <n v="2010"/>
    <x v="4"/>
    <s v="Private"/>
    <x v="0"/>
  </r>
  <r>
    <x v="174"/>
    <x v="7"/>
    <x v="0"/>
    <n v="176.77"/>
    <n v="1870.97"/>
    <n v="9.51"/>
    <n v="4647"/>
    <n v="8.18"/>
    <x v="1"/>
    <n v="2016"/>
    <x v="0"/>
    <s v="Acquired"/>
    <x v="1"/>
  </r>
  <r>
    <x v="175"/>
    <x v="1"/>
    <x v="1"/>
    <n v="294.70999999999998"/>
    <n v="1090.8599999999999"/>
    <n v="34.43"/>
    <n v="2246"/>
    <n v="5.07"/>
    <x v="1"/>
    <n v="2018"/>
    <x v="1"/>
    <s v="Private"/>
    <x v="1"/>
  </r>
  <r>
    <x v="176"/>
    <x v="7"/>
    <x v="2"/>
    <n v="265.32"/>
    <n v="1247.3499999999999"/>
    <n v="28.31"/>
    <n v="3180"/>
    <n v="0.8"/>
    <x v="0"/>
    <n v="2009"/>
    <x v="1"/>
    <s v="IPO"/>
    <x v="0"/>
  </r>
  <r>
    <x v="177"/>
    <x v="2"/>
    <x v="4"/>
    <n v="180.44"/>
    <n v="1135.78"/>
    <n v="39.130000000000003"/>
    <n v="3611"/>
    <n v="3.2"/>
    <x v="0"/>
    <n v="2014"/>
    <x v="1"/>
    <s v="Private"/>
    <x v="1"/>
  </r>
  <r>
    <x v="178"/>
    <x v="5"/>
    <x v="0"/>
    <n v="271.17"/>
    <n v="2756.32"/>
    <n v="79.849999999999994"/>
    <n v="3341"/>
    <n v="9.36"/>
    <x v="0"/>
    <n v="1995"/>
    <x v="1"/>
    <s v="Acquired"/>
    <x v="0"/>
  </r>
  <r>
    <x v="179"/>
    <x v="5"/>
    <x v="0"/>
    <n v="296.76"/>
    <n v="3297.03"/>
    <n v="37.26"/>
    <n v="4902"/>
    <n v="8.52"/>
    <x v="1"/>
    <n v="1991"/>
    <x v="4"/>
    <s v="Acquired"/>
    <x v="0"/>
  </r>
  <r>
    <x v="180"/>
    <x v="2"/>
    <x v="4"/>
    <n v="223.13"/>
    <n v="1854.79"/>
    <n v="45.22"/>
    <n v="418"/>
    <n v="9.82"/>
    <x v="1"/>
    <n v="2011"/>
    <x v="3"/>
    <s v="IPO"/>
    <x v="1"/>
  </r>
  <r>
    <x v="181"/>
    <x v="1"/>
    <x v="2"/>
    <n v="19.96"/>
    <n v="166.66"/>
    <n v="39.799999999999997"/>
    <n v="2019"/>
    <n v="6.32"/>
    <x v="1"/>
    <n v="2021"/>
    <x v="4"/>
    <s v="Acquired"/>
    <x v="1"/>
  </r>
  <r>
    <x v="182"/>
    <x v="0"/>
    <x v="0"/>
    <n v="120.77"/>
    <n v="1412.31"/>
    <n v="9.43"/>
    <n v="1386"/>
    <n v="2.5499999999999998"/>
    <x v="1"/>
    <n v="2005"/>
    <x v="1"/>
    <s v="Private"/>
    <x v="0"/>
  </r>
  <r>
    <x v="183"/>
    <x v="7"/>
    <x v="0"/>
    <n v="251.43"/>
    <n v="802.02"/>
    <n v="44.16"/>
    <n v="1103"/>
    <n v="1.71"/>
    <x v="1"/>
    <n v="2007"/>
    <x v="4"/>
    <s v="Acquired"/>
    <x v="0"/>
  </r>
  <r>
    <x v="184"/>
    <x v="3"/>
    <x v="1"/>
    <n v="69.56"/>
    <n v="493.39"/>
    <n v="19.64"/>
    <n v="3431"/>
    <n v="1.95"/>
    <x v="0"/>
    <n v="1994"/>
    <x v="1"/>
    <s v="Private"/>
    <x v="0"/>
  </r>
  <r>
    <x v="185"/>
    <x v="6"/>
    <x v="2"/>
    <n v="249.28"/>
    <n v="3196.89"/>
    <n v="18.75"/>
    <n v="3660"/>
    <n v="0.3"/>
    <x v="0"/>
    <n v="2019"/>
    <x v="2"/>
    <s v="Acquired"/>
    <x v="1"/>
  </r>
  <r>
    <x v="186"/>
    <x v="6"/>
    <x v="0"/>
    <n v="36.54"/>
    <n v="374.12"/>
    <n v="9.49"/>
    <n v="914"/>
    <n v="3.97"/>
    <x v="0"/>
    <n v="2008"/>
    <x v="3"/>
    <s v="Private"/>
    <x v="0"/>
  </r>
  <r>
    <x v="187"/>
    <x v="1"/>
    <x v="2"/>
    <n v="14.56"/>
    <n v="102.6"/>
    <n v="35.729999999999997"/>
    <n v="192"/>
    <n v="2"/>
    <x v="0"/>
    <n v="2012"/>
    <x v="2"/>
    <s v="Private"/>
    <x v="1"/>
  </r>
  <r>
    <x v="188"/>
    <x v="0"/>
    <x v="4"/>
    <n v="115.54"/>
    <n v="1602.11"/>
    <n v="75.77"/>
    <n v="4049"/>
    <n v="4.18"/>
    <x v="1"/>
    <n v="2002"/>
    <x v="0"/>
    <s v="Acquired"/>
    <x v="0"/>
  </r>
  <r>
    <x v="189"/>
    <x v="5"/>
    <x v="3"/>
    <n v="11.5"/>
    <n v="141.12"/>
    <n v="27.72"/>
    <n v="3761"/>
    <n v="9.36"/>
    <x v="1"/>
    <n v="2018"/>
    <x v="4"/>
    <s v="Private"/>
    <x v="1"/>
  </r>
  <r>
    <x v="190"/>
    <x v="5"/>
    <x v="0"/>
    <n v="287.2"/>
    <n v="1774.54"/>
    <n v="31.3"/>
    <n v="2020"/>
    <n v="4.3600000000000003"/>
    <x v="0"/>
    <n v="2011"/>
    <x v="0"/>
    <s v="IPO"/>
    <x v="1"/>
  </r>
  <r>
    <x v="191"/>
    <x v="6"/>
    <x v="1"/>
    <n v="247.95"/>
    <n v="2663.85"/>
    <n v="64.3"/>
    <n v="2097"/>
    <n v="8.7899999999999991"/>
    <x v="0"/>
    <n v="1998"/>
    <x v="4"/>
    <s v="Private"/>
    <x v="0"/>
  </r>
  <r>
    <x v="192"/>
    <x v="1"/>
    <x v="4"/>
    <n v="240.33"/>
    <n v="2439.11"/>
    <n v="19.66"/>
    <n v="3649"/>
    <n v="6.09"/>
    <x v="1"/>
    <n v="2008"/>
    <x v="2"/>
    <s v="Private"/>
    <x v="0"/>
  </r>
  <r>
    <x v="193"/>
    <x v="7"/>
    <x v="2"/>
    <n v="189.12"/>
    <n v="1477.83"/>
    <n v="89.71"/>
    <n v="2135"/>
    <n v="2.5499999999999998"/>
    <x v="0"/>
    <n v="1995"/>
    <x v="1"/>
    <s v="Private"/>
    <x v="0"/>
  </r>
  <r>
    <x v="194"/>
    <x v="5"/>
    <x v="4"/>
    <n v="65.290000000000006"/>
    <n v="483.37"/>
    <n v="52.07"/>
    <n v="362"/>
    <n v="3.62"/>
    <x v="0"/>
    <n v="2004"/>
    <x v="1"/>
    <s v="Private"/>
    <x v="0"/>
  </r>
  <r>
    <x v="195"/>
    <x v="7"/>
    <x v="0"/>
    <n v="155.72"/>
    <n v="1109.1500000000001"/>
    <n v="44.82"/>
    <n v="2427"/>
    <n v="0.93"/>
    <x v="0"/>
    <n v="2009"/>
    <x v="4"/>
    <s v="Private"/>
    <x v="0"/>
  </r>
  <r>
    <x v="196"/>
    <x v="0"/>
    <x v="2"/>
    <n v="179.38"/>
    <n v="1866.6"/>
    <n v="55.83"/>
    <n v="4262"/>
    <n v="3.4"/>
    <x v="0"/>
    <n v="1998"/>
    <x v="1"/>
    <s v="Acquired"/>
    <x v="0"/>
  </r>
  <r>
    <x v="197"/>
    <x v="5"/>
    <x v="3"/>
    <n v="157.75"/>
    <n v="1310.73"/>
    <n v="16.690000000000001"/>
    <n v="4550"/>
    <n v="6.81"/>
    <x v="1"/>
    <n v="2021"/>
    <x v="2"/>
    <s v="Acquired"/>
    <x v="1"/>
  </r>
  <r>
    <x v="198"/>
    <x v="5"/>
    <x v="4"/>
    <n v="78.44"/>
    <n v="1018.34"/>
    <n v="61.39"/>
    <n v="1502"/>
    <n v="0.81"/>
    <x v="0"/>
    <n v="1993"/>
    <x v="1"/>
    <s v="Private"/>
    <x v="0"/>
  </r>
  <r>
    <x v="199"/>
    <x v="4"/>
    <x v="0"/>
    <n v="154.82"/>
    <n v="1708.47"/>
    <n v="36.369999999999997"/>
    <n v="2163"/>
    <n v="2.13"/>
    <x v="0"/>
    <n v="2007"/>
    <x v="2"/>
    <s v="Private"/>
    <x v="0"/>
  </r>
  <r>
    <x v="200"/>
    <x v="5"/>
    <x v="1"/>
    <n v="147.61000000000001"/>
    <n v="566.70000000000005"/>
    <n v="89.73"/>
    <n v="2560"/>
    <n v="3.88"/>
    <x v="0"/>
    <n v="1994"/>
    <x v="0"/>
    <s v="Private"/>
    <x v="0"/>
  </r>
  <r>
    <x v="201"/>
    <x v="2"/>
    <x v="2"/>
    <n v="298.89999999999998"/>
    <n v="3192.86"/>
    <n v="16.97"/>
    <n v="2347"/>
    <n v="9.82"/>
    <x v="1"/>
    <n v="2009"/>
    <x v="2"/>
    <s v="Private"/>
    <x v="0"/>
  </r>
  <r>
    <x v="202"/>
    <x v="3"/>
    <x v="4"/>
    <n v="269.27999999999997"/>
    <n v="1684.01"/>
    <n v="50.75"/>
    <n v="2956"/>
    <n v="7.87"/>
    <x v="0"/>
    <n v="2012"/>
    <x v="3"/>
    <s v="Private"/>
    <x v="1"/>
  </r>
  <r>
    <x v="203"/>
    <x v="2"/>
    <x v="4"/>
    <n v="139.28"/>
    <n v="1408.64"/>
    <n v="59.85"/>
    <n v="1243"/>
    <n v="7.36"/>
    <x v="0"/>
    <n v="2000"/>
    <x v="3"/>
    <s v="Private"/>
    <x v="0"/>
  </r>
  <r>
    <x v="204"/>
    <x v="1"/>
    <x v="3"/>
    <n v="187.07"/>
    <n v="2088"/>
    <n v="3.44"/>
    <n v="978"/>
    <n v="1.25"/>
    <x v="0"/>
    <n v="2011"/>
    <x v="3"/>
    <s v="Private"/>
    <x v="1"/>
  </r>
  <r>
    <x v="205"/>
    <x v="1"/>
    <x v="3"/>
    <n v="224.49"/>
    <n v="1295.3"/>
    <n v="36.43"/>
    <n v="4732"/>
    <n v="7.83"/>
    <x v="0"/>
    <n v="1993"/>
    <x v="4"/>
    <s v="Private"/>
    <x v="0"/>
  </r>
  <r>
    <x v="206"/>
    <x v="7"/>
    <x v="1"/>
    <n v="10.94"/>
    <n v="92.8"/>
    <n v="73.290000000000006"/>
    <n v="3970"/>
    <n v="7.87"/>
    <x v="0"/>
    <n v="2018"/>
    <x v="4"/>
    <s v="Private"/>
    <x v="1"/>
  </r>
  <r>
    <x v="207"/>
    <x v="2"/>
    <x v="1"/>
    <n v="268.52999999999997"/>
    <n v="1418.89"/>
    <n v="82.06"/>
    <n v="1055"/>
    <n v="6.05"/>
    <x v="1"/>
    <n v="2002"/>
    <x v="4"/>
    <s v="Acquired"/>
    <x v="0"/>
  </r>
  <r>
    <x v="208"/>
    <x v="2"/>
    <x v="0"/>
    <n v="258.11"/>
    <n v="936.44"/>
    <n v="31.38"/>
    <n v="3706"/>
    <n v="9.9"/>
    <x v="0"/>
    <n v="1998"/>
    <x v="2"/>
    <s v="IPO"/>
    <x v="0"/>
  </r>
  <r>
    <x v="209"/>
    <x v="2"/>
    <x v="0"/>
    <n v="137.5"/>
    <n v="1036.99"/>
    <n v="79.88"/>
    <n v="2785"/>
    <n v="3.32"/>
    <x v="0"/>
    <n v="2020"/>
    <x v="4"/>
    <s v="Private"/>
    <x v="1"/>
  </r>
  <r>
    <x v="210"/>
    <x v="0"/>
    <x v="1"/>
    <n v="117.66"/>
    <n v="865.43"/>
    <n v="96.78"/>
    <n v="1593"/>
    <n v="9.42"/>
    <x v="1"/>
    <n v="1996"/>
    <x v="0"/>
    <s v="IPO"/>
    <x v="0"/>
  </r>
  <r>
    <x v="211"/>
    <x v="5"/>
    <x v="1"/>
    <n v="82.25"/>
    <n v="1229.29"/>
    <n v="85.7"/>
    <n v="3883"/>
    <n v="9.16"/>
    <x v="0"/>
    <n v="1993"/>
    <x v="3"/>
    <s v="Private"/>
    <x v="0"/>
  </r>
  <r>
    <x v="212"/>
    <x v="3"/>
    <x v="2"/>
    <n v="143.26"/>
    <n v="1197.1099999999999"/>
    <n v="11.85"/>
    <n v="2373"/>
    <n v="0.21"/>
    <x v="0"/>
    <n v="2008"/>
    <x v="2"/>
    <s v="Private"/>
    <x v="0"/>
  </r>
  <r>
    <x v="213"/>
    <x v="7"/>
    <x v="3"/>
    <n v="13.79"/>
    <n v="96.57"/>
    <n v="74"/>
    <n v="441"/>
    <n v="4.5599999999999996"/>
    <x v="0"/>
    <n v="2019"/>
    <x v="3"/>
    <s v="Private"/>
    <x v="1"/>
  </r>
  <r>
    <x v="214"/>
    <x v="2"/>
    <x v="0"/>
    <n v="255.73"/>
    <n v="2548.5300000000002"/>
    <n v="32.03"/>
    <n v="2833"/>
    <n v="9.77"/>
    <x v="1"/>
    <n v="2020"/>
    <x v="4"/>
    <s v="Private"/>
    <x v="1"/>
  </r>
  <r>
    <x v="215"/>
    <x v="2"/>
    <x v="3"/>
    <n v="11.11"/>
    <n v="45.16"/>
    <n v="98.84"/>
    <n v="1561"/>
    <n v="1.1200000000000001"/>
    <x v="0"/>
    <n v="2010"/>
    <x v="2"/>
    <s v="Private"/>
    <x v="0"/>
  </r>
  <r>
    <x v="216"/>
    <x v="4"/>
    <x v="3"/>
    <n v="99.05"/>
    <n v="1440.19"/>
    <n v="48.59"/>
    <n v="3863"/>
    <n v="5.52"/>
    <x v="1"/>
    <n v="2020"/>
    <x v="1"/>
    <s v="Private"/>
    <x v="1"/>
  </r>
  <r>
    <x v="217"/>
    <x v="7"/>
    <x v="1"/>
    <n v="279.51"/>
    <n v="2968.26"/>
    <n v="12.33"/>
    <n v="1309"/>
    <n v="9.7899999999999991"/>
    <x v="1"/>
    <n v="2008"/>
    <x v="0"/>
    <s v="Private"/>
    <x v="0"/>
  </r>
  <r>
    <x v="218"/>
    <x v="2"/>
    <x v="2"/>
    <n v="220.7"/>
    <n v="2661.21"/>
    <n v="72.55"/>
    <n v="2389"/>
    <n v="5.6"/>
    <x v="0"/>
    <n v="2020"/>
    <x v="4"/>
    <s v="Private"/>
    <x v="1"/>
  </r>
  <r>
    <x v="219"/>
    <x v="7"/>
    <x v="4"/>
    <n v="84.78"/>
    <n v="427.78"/>
    <n v="32.369999999999997"/>
    <n v="187"/>
    <n v="1.98"/>
    <x v="1"/>
    <n v="2021"/>
    <x v="4"/>
    <s v="Private"/>
    <x v="1"/>
  </r>
  <r>
    <x v="220"/>
    <x v="5"/>
    <x v="2"/>
    <n v="76.17"/>
    <n v="602.79"/>
    <n v="99.71"/>
    <n v="1594"/>
    <n v="5.86"/>
    <x v="0"/>
    <n v="1991"/>
    <x v="0"/>
    <s v="Private"/>
    <x v="0"/>
  </r>
  <r>
    <x v="221"/>
    <x v="4"/>
    <x v="2"/>
    <n v="2.02"/>
    <n v="16.309999999999999"/>
    <n v="97.98"/>
    <n v="1592"/>
    <n v="2.12"/>
    <x v="0"/>
    <n v="1999"/>
    <x v="0"/>
    <s v="Private"/>
    <x v="0"/>
  </r>
  <r>
    <x v="222"/>
    <x v="7"/>
    <x v="3"/>
    <n v="208.87"/>
    <n v="2686.42"/>
    <n v="65.650000000000006"/>
    <n v="664"/>
    <n v="5.25"/>
    <x v="1"/>
    <n v="1991"/>
    <x v="1"/>
    <s v="Private"/>
    <x v="0"/>
  </r>
  <r>
    <x v="223"/>
    <x v="3"/>
    <x v="2"/>
    <n v="15.11"/>
    <n v="45.55"/>
    <n v="13.07"/>
    <n v="164"/>
    <n v="0.83"/>
    <x v="1"/>
    <n v="1991"/>
    <x v="4"/>
    <s v="Private"/>
    <x v="0"/>
  </r>
  <r>
    <x v="224"/>
    <x v="3"/>
    <x v="0"/>
    <n v="160.01"/>
    <n v="1057.7"/>
    <n v="68.72"/>
    <n v="3958"/>
    <n v="6.09"/>
    <x v="1"/>
    <n v="2013"/>
    <x v="4"/>
    <s v="Private"/>
    <x v="1"/>
  </r>
  <r>
    <x v="225"/>
    <x v="1"/>
    <x v="3"/>
    <n v="288.66000000000003"/>
    <n v="4264.8999999999996"/>
    <n v="9.39"/>
    <n v="1016"/>
    <n v="5.22"/>
    <x v="0"/>
    <n v="2006"/>
    <x v="3"/>
    <s v="Private"/>
    <x v="0"/>
  </r>
  <r>
    <x v="226"/>
    <x v="4"/>
    <x v="0"/>
    <n v="33.29"/>
    <n v="289.58"/>
    <n v="3.03"/>
    <n v="57"/>
    <n v="7.43"/>
    <x v="0"/>
    <n v="2021"/>
    <x v="2"/>
    <s v="Private"/>
    <x v="1"/>
  </r>
  <r>
    <x v="227"/>
    <x v="4"/>
    <x v="4"/>
    <n v="268.39999999999998"/>
    <n v="2037.24"/>
    <n v="82.31"/>
    <n v="2312"/>
    <n v="6.34"/>
    <x v="1"/>
    <n v="2005"/>
    <x v="2"/>
    <s v="Private"/>
    <x v="0"/>
  </r>
  <r>
    <x v="228"/>
    <x v="1"/>
    <x v="3"/>
    <n v="297.45"/>
    <n v="1320.07"/>
    <n v="21.05"/>
    <n v="1233"/>
    <n v="5.54"/>
    <x v="0"/>
    <n v="2005"/>
    <x v="3"/>
    <s v="Private"/>
    <x v="0"/>
  </r>
  <r>
    <x v="229"/>
    <x v="7"/>
    <x v="4"/>
    <n v="18.920000000000002"/>
    <n v="277.93"/>
    <n v="37.96"/>
    <n v="1040"/>
    <n v="6.93"/>
    <x v="0"/>
    <n v="2020"/>
    <x v="2"/>
    <s v="Private"/>
    <x v="1"/>
  </r>
  <r>
    <x v="230"/>
    <x v="4"/>
    <x v="3"/>
    <n v="264.93"/>
    <n v="858.46"/>
    <n v="97.35"/>
    <n v="3707"/>
    <n v="1.53"/>
    <x v="0"/>
    <n v="2013"/>
    <x v="0"/>
    <s v="Private"/>
    <x v="1"/>
  </r>
  <r>
    <x v="231"/>
    <x v="3"/>
    <x v="1"/>
    <n v="155.07"/>
    <n v="1836.98"/>
    <n v="33.75"/>
    <n v="4050"/>
    <n v="5.99"/>
    <x v="0"/>
    <n v="1990"/>
    <x v="2"/>
    <s v="Private"/>
    <x v="0"/>
  </r>
  <r>
    <x v="232"/>
    <x v="3"/>
    <x v="2"/>
    <n v="272"/>
    <n v="3324.71"/>
    <n v="29.72"/>
    <n v="4950"/>
    <n v="1.8"/>
    <x v="1"/>
    <n v="2000"/>
    <x v="2"/>
    <s v="Private"/>
    <x v="0"/>
  </r>
  <r>
    <x v="233"/>
    <x v="2"/>
    <x v="1"/>
    <n v="171.61"/>
    <n v="1016.6"/>
    <n v="91.83"/>
    <n v="4454"/>
    <n v="9.26"/>
    <x v="0"/>
    <n v="2010"/>
    <x v="3"/>
    <s v="Private"/>
    <x v="0"/>
  </r>
  <r>
    <x v="234"/>
    <x v="5"/>
    <x v="4"/>
    <n v="198.8"/>
    <n v="2198.4699999999998"/>
    <n v="11.16"/>
    <n v="1269"/>
    <n v="0.78"/>
    <x v="1"/>
    <n v="1993"/>
    <x v="1"/>
    <s v="Acquired"/>
    <x v="0"/>
  </r>
  <r>
    <x v="235"/>
    <x v="4"/>
    <x v="2"/>
    <n v="163.36000000000001"/>
    <n v="672.25"/>
    <n v="75.98"/>
    <n v="1889"/>
    <n v="4.3600000000000003"/>
    <x v="0"/>
    <n v="1996"/>
    <x v="2"/>
    <s v="Private"/>
    <x v="0"/>
  </r>
  <r>
    <x v="236"/>
    <x v="7"/>
    <x v="3"/>
    <n v="259.42"/>
    <n v="1578.46"/>
    <n v="98.81"/>
    <n v="1814"/>
    <n v="6.99"/>
    <x v="1"/>
    <n v="2015"/>
    <x v="2"/>
    <s v="Private"/>
    <x v="1"/>
  </r>
  <r>
    <x v="237"/>
    <x v="1"/>
    <x v="2"/>
    <n v="220.31"/>
    <n v="2743.92"/>
    <n v="90.14"/>
    <n v="3172"/>
    <n v="4.63"/>
    <x v="0"/>
    <n v="2001"/>
    <x v="1"/>
    <s v="Private"/>
    <x v="0"/>
  </r>
  <r>
    <x v="238"/>
    <x v="1"/>
    <x v="0"/>
    <n v="156.62"/>
    <n v="2094.9899999999998"/>
    <n v="65.2"/>
    <n v="3802"/>
    <n v="1.01"/>
    <x v="0"/>
    <n v="2020"/>
    <x v="3"/>
    <s v="Private"/>
    <x v="1"/>
  </r>
  <r>
    <x v="239"/>
    <x v="7"/>
    <x v="2"/>
    <n v="260.51"/>
    <n v="2683.73"/>
    <n v="31.47"/>
    <n v="2346"/>
    <n v="5.58"/>
    <x v="0"/>
    <n v="2006"/>
    <x v="1"/>
    <s v="Private"/>
    <x v="0"/>
  </r>
  <r>
    <x v="240"/>
    <x v="0"/>
    <x v="0"/>
    <n v="73.959999999999994"/>
    <n v="671.71"/>
    <n v="25.51"/>
    <n v="3419"/>
    <n v="6.45"/>
    <x v="0"/>
    <n v="2022"/>
    <x v="3"/>
    <s v="Private"/>
    <x v="1"/>
  </r>
  <r>
    <x v="241"/>
    <x v="6"/>
    <x v="2"/>
    <n v="47.62"/>
    <n v="233.89"/>
    <n v="81.94"/>
    <n v="822"/>
    <n v="7.07"/>
    <x v="0"/>
    <n v="2000"/>
    <x v="0"/>
    <s v="Acquired"/>
    <x v="0"/>
  </r>
  <r>
    <x v="242"/>
    <x v="5"/>
    <x v="0"/>
    <n v="48.54"/>
    <n v="182.38"/>
    <n v="87.99"/>
    <n v="2442"/>
    <n v="3.8"/>
    <x v="1"/>
    <n v="2017"/>
    <x v="3"/>
    <s v="Private"/>
    <x v="1"/>
  </r>
  <r>
    <x v="243"/>
    <x v="1"/>
    <x v="4"/>
    <n v="100.54"/>
    <n v="443.56"/>
    <n v="52.59"/>
    <n v="893"/>
    <n v="5.68"/>
    <x v="1"/>
    <n v="2021"/>
    <x v="0"/>
    <s v="Private"/>
    <x v="1"/>
  </r>
  <r>
    <x v="244"/>
    <x v="4"/>
    <x v="1"/>
    <n v="71.989999999999995"/>
    <n v="412.38"/>
    <n v="24.51"/>
    <n v="672"/>
    <n v="4.5599999999999996"/>
    <x v="0"/>
    <n v="1990"/>
    <x v="0"/>
    <s v="IPO"/>
    <x v="0"/>
  </r>
  <r>
    <x v="245"/>
    <x v="5"/>
    <x v="3"/>
    <n v="279.06"/>
    <n v="1981.35"/>
    <n v="11.38"/>
    <n v="4733"/>
    <n v="6.75"/>
    <x v="0"/>
    <n v="2017"/>
    <x v="3"/>
    <s v="IPO"/>
    <x v="1"/>
  </r>
  <r>
    <x v="246"/>
    <x v="4"/>
    <x v="2"/>
    <n v="32.200000000000003"/>
    <n v="243.78"/>
    <n v="8.81"/>
    <n v="2629"/>
    <n v="5.88"/>
    <x v="0"/>
    <n v="1996"/>
    <x v="4"/>
    <s v="Private"/>
    <x v="0"/>
  </r>
  <r>
    <x v="247"/>
    <x v="0"/>
    <x v="1"/>
    <n v="209.85"/>
    <n v="1501.66"/>
    <n v="71.94"/>
    <n v="4237"/>
    <n v="5.3"/>
    <x v="0"/>
    <n v="1991"/>
    <x v="3"/>
    <s v="Private"/>
    <x v="0"/>
  </r>
  <r>
    <x v="248"/>
    <x v="3"/>
    <x v="3"/>
    <n v="57.17"/>
    <n v="335.51"/>
    <n v="42.07"/>
    <n v="4528"/>
    <n v="2.57"/>
    <x v="1"/>
    <n v="2013"/>
    <x v="2"/>
    <s v="IPO"/>
    <x v="1"/>
  </r>
  <r>
    <x v="249"/>
    <x v="5"/>
    <x v="3"/>
    <n v="264.55"/>
    <n v="2411.8200000000002"/>
    <n v="90.55"/>
    <n v="823"/>
    <n v="0.12"/>
    <x v="1"/>
    <n v="1993"/>
    <x v="2"/>
    <s v="Private"/>
    <x v="0"/>
  </r>
  <r>
    <x v="250"/>
    <x v="2"/>
    <x v="0"/>
    <n v="288.41000000000003"/>
    <n v="3721.48"/>
    <n v="73.989999999999995"/>
    <n v="2193"/>
    <n v="1.82"/>
    <x v="0"/>
    <n v="2008"/>
    <x v="4"/>
    <s v="Private"/>
    <x v="0"/>
  </r>
  <r>
    <x v="251"/>
    <x v="1"/>
    <x v="4"/>
    <n v="139.91"/>
    <n v="889.33"/>
    <n v="19.21"/>
    <n v="1111"/>
    <n v="1.26"/>
    <x v="0"/>
    <n v="2015"/>
    <x v="0"/>
    <s v="Private"/>
    <x v="1"/>
  </r>
  <r>
    <x v="252"/>
    <x v="5"/>
    <x v="4"/>
    <n v="263.77999999999997"/>
    <n v="3774.33"/>
    <n v="61.42"/>
    <n v="2229"/>
    <n v="4.55"/>
    <x v="0"/>
    <n v="2000"/>
    <x v="4"/>
    <s v="Private"/>
    <x v="0"/>
  </r>
  <r>
    <x v="253"/>
    <x v="5"/>
    <x v="1"/>
    <n v="2.04"/>
    <n v="27.5"/>
    <n v="43.61"/>
    <n v="202"/>
    <n v="6.16"/>
    <x v="1"/>
    <n v="2000"/>
    <x v="2"/>
    <s v="Private"/>
    <x v="0"/>
  </r>
  <r>
    <x v="254"/>
    <x v="5"/>
    <x v="4"/>
    <n v="246.07"/>
    <n v="1215.8699999999999"/>
    <n v="57.77"/>
    <n v="2676"/>
    <n v="2.21"/>
    <x v="0"/>
    <n v="1992"/>
    <x v="4"/>
    <s v="Private"/>
    <x v="0"/>
  </r>
  <r>
    <x v="255"/>
    <x v="6"/>
    <x v="2"/>
    <n v="68.97"/>
    <n v="857.66"/>
    <n v="73.83"/>
    <n v="3497"/>
    <n v="9.4"/>
    <x v="1"/>
    <n v="2001"/>
    <x v="3"/>
    <s v="Private"/>
    <x v="0"/>
  </r>
  <r>
    <x v="256"/>
    <x v="5"/>
    <x v="4"/>
    <n v="272.66000000000003"/>
    <n v="2697.98"/>
    <n v="80.64"/>
    <n v="2453"/>
    <n v="0.17"/>
    <x v="1"/>
    <n v="1992"/>
    <x v="4"/>
    <s v="Private"/>
    <x v="0"/>
  </r>
  <r>
    <x v="257"/>
    <x v="4"/>
    <x v="1"/>
    <n v="0.84"/>
    <n v="8.23"/>
    <n v="84.39"/>
    <n v="475"/>
    <n v="7.75"/>
    <x v="0"/>
    <n v="2016"/>
    <x v="0"/>
    <s v="IPO"/>
    <x v="1"/>
  </r>
  <r>
    <x v="258"/>
    <x v="3"/>
    <x v="4"/>
    <n v="167.08"/>
    <n v="1285.27"/>
    <n v="25.47"/>
    <n v="1953"/>
    <n v="6.29"/>
    <x v="1"/>
    <n v="1991"/>
    <x v="3"/>
    <s v="Private"/>
    <x v="0"/>
  </r>
  <r>
    <x v="259"/>
    <x v="0"/>
    <x v="2"/>
    <n v="227.11"/>
    <n v="2047.13"/>
    <n v="3.21"/>
    <n v="3904"/>
    <n v="3.8"/>
    <x v="0"/>
    <n v="2005"/>
    <x v="1"/>
    <s v="Acquired"/>
    <x v="0"/>
  </r>
  <r>
    <x v="260"/>
    <x v="7"/>
    <x v="0"/>
    <n v="77.98"/>
    <n v="605.6"/>
    <n v="73.959999999999994"/>
    <n v="2015"/>
    <n v="0.6"/>
    <x v="1"/>
    <n v="1991"/>
    <x v="2"/>
    <s v="IPO"/>
    <x v="0"/>
  </r>
  <r>
    <x v="261"/>
    <x v="5"/>
    <x v="1"/>
    <n v="58.34"/>
    <n v="552.88"/>
    <n v="10.72"/>
    <n v="3805"/>
    <n v="6.31"/>
    <x v="0"/>
    <n v="2019"/>
    <x v="2"/>
    <s v="Acquired"/>
    <x v="1"/>
  </r>
  <r>
    <x v="262"/>
    <x v="1"/>
    <x v="0"/>
    <n v="25.69"/>
    <n v="270.64999999999998"/>
    <n v="31.56"/>
    <n v="4123"/>
    <n v="3.92"/>
    <x v="0"/>
    <n v="2009"/>
    <x v="4"/>
    <s v="Acquired"/>
    <x v="0"/>
  </r>
  <r>
    <x v="263"/>
    <x v="5"/>
    <x v="0"/>
    <n v="98.27"/>
    <n v="1089.98"/>
    <n v="0.48"/>
    <n v="3801"/>
    <n v="9.3699999999999992"/>
    <x v="1"/>
    <n v="2017"/>
    <x v="3"/>
    <s v="Private"/>
    <x v="1"/>
  </r>
  <r>
    <x v="264"/>
    <x v="1"/>
    <x v="0"/>
    <n v="168.17"/>
    <n v="1579.08"/>
    <n v="68.2"/>
    <n v="3993"/>
    <n v="5.47"/>
    <x v="1"/>
    <n v="2014"/>
    <x v="1"/>
    <s v="IPO"/>
    <x v="1"/>
  </r>
  <r>
    <x v="265"/>
    <x v="4"/>
    <x v="3"/>
    <n v="35.200000000000003"/>
    <n v="410.33"/>
    <n v="16.8"/>
    <n v="239"/>
    <n v="9.4"/>
    <x v="1"/>
    <n v="2021"/>
    <x v="3"/>
    <s v="Private"/>
    <x v="1"/>
  </r>
  <r>
    <x v="266"/>
    <x v="1"/>
    <x v="3"/>
    <n v="113.32"/>
    <n v="532.08000000000004"/>
    <n v="65.56"/>
    <n v="933"/>
    <n v="2.2799999999999998"/>
    <x v="0"/>
    <n v="1999"/>
    <x v="2"/>
    <s v="Private"/>
    <x v="0"/>
  </r>
  <r>
    <x v="267"/>
    <x v="2"/>
    <x v="0"/>
    <n v="3.22"/>
    <n v="17.850000000000001"/>
    <n v="99.18"/>
    <n v="3612"/>
    <n v="7.28"/>
    <x v="1"/>
    <n v="2022"/>
    <x v="3"/>
    <s v="Private"/>
    <x v="1"/>
  </r>
  <r>
    <x v="268"/>
    <x v="7"/>
    <x v="1"/>
    <n v="245.69"/>
    <n v="3150.93"/>
    <n v="7.36"/>
    <n v="527"/>
    <n v="6.21"/>
    <x v="0"/>
    <n v="2002"/>
    <x v="1"/>
    <s v="Acquired"/>
    <x v="0"/>
  </r>
  <r>
    <x v="269"/>
    <x v="3"/>
    <x v="2"/>
    <n v="38.97"/>
    <n v="267.74"/>
    <n v="7.8"/>
    <n v="3528"/>
    <n v="7.42"/>
    <x v="1"/>
    <n v="2005"/>
    <x v="4"/>
    <s v="Private"/>
    <x v="0"/>
  </r>
  <r>
    <x v="270"/>
    <x v="1"/>
    <x v="2"/>
    <n v="85.36"/>
    <n v="279.52999999999997"/>
    <n v="34.1"/>
    <n v="4531"/>
    <n v="2.23"/>
    <x v="0"/>
    <n v="2011"/>
    <x v="0"/>
    <s v="Private"/>
    <x v="1"/>
  </r>
  <r>
    <x v="271"/>
    <x v="1"/>
    <x v="4"/>
    <n v="6.02"/>
    <n v="29.17"/>
    <n v="86.65"/>
    <n v="4893"/>
    <n v="6.68"/>
    <x v="1"/>
    <n v="2009"/>
    <x v="3"/>
    <s v="Private"/>
    <x v="0"/>
  </r>
  <r>
    <x v="272"/>
    <x v="3"/>
    <x v="1"/>
    <n v="129.96"/>
    <n v="738.61"/>
    <n v="21.63"/>
    <n v="1634"/>
    <n v="5.03"/>
    <x v="1"/>
    <n v="2016"/>
    <x v="0"/>
    <s v="Private"/>
    <x v="1"/>
  </r>
  <r>
    <x v="273"/>
    <x v="7"/>
    <x v="3"/>
    <n v="252.12"/>
    <n v="3652.68"/>
    <n v="36.1"/>
    <n v="4633"/>
    <n v="7.45"/>
    <x v="1"/>
    <n v="2005"/>
    <x v="2"/>
    <s v="Private"/>
    <x v="0"/>
  </r>
  <r>
    <x v="274"/>
    <x v="5"/>
    <x v="0"/>
    <n v="117.95"/>
    <n v="1164.93"/>
    <n v="6.94"/>
    <n v="1321"/>
    <n v="3.34"/>
    <x v="0"/>
    <n v="2021"/>
    <x v="4"/>
    <s v="Private"/>
    <x v="1"/>
  </r>
  <r>
    <x v="275"/>
    <x v="1"/>
    <x v="4"/>
    <n v="54.26"/>
    <n v="770.1"/>
    <n v="76.34"/>
    <n v="2862"/>
    <n v="8.91"/>
    <x v="0"/>
    <n v="2015"/>
    <x v="4"/>
    <s v="Private"/>
    <x v="1"/>
  </r>
  <r>
    <x v="276"/>
    <x v="3"/>
    <x v="2"/>
    <n v="226.23"/>
    <n v="2240.12"/>
    <n v="40.89"/>
    <n v="1129"/>
    <n v="0.93"/>
    <x v="1"/>
    <n v="2014"/>
    <x v="3"/>
    <s v="Private"/>
    <x v="1"/>
  </r>
  <r>
    <x v="277"/>
    <x v="2"/>
    <x v="3"/>
    <n v="236.75"/>
    <n v="2072.1"/>
    <n v="75.95"/>
    <n v="2592"/>
    <n v="8.09"/>
    <x v="0"/>
    <n v="1991"/>
    <x v="4"/>
    <s v="Acquired"/>
    <x v="0"/>
  </r>
  <r>
    <x v="278"/>
    <x v="2"/>
    <x v="3"/>
    <n v="52.54"/>
    <n v="355.42"/>
    <n v="90.37"/>
    <n v="1028"/>
    <n v="8.6300000000000008"/>
    <x v="1"/>
    <n v="2001"/>
    <x v="3"/>
    <s v="Private"/>
    <x v="0"/>
  </r>
  <r>
    <x v="279"/>
    <x v="4"/>
    <x v="0"/>
    <n v="231.37"/>
    <n v="2377.66"/>
    <n v="23.35"/>
    <n v="1383"/>
    <n v="8.19"/>
    <x v="0"/>
    <n v="1998"/>
    <x v="3"/>
    <s v="Acquired"/>
    <x v="0"/>
  </r>
  <r>
    <x v="280"/>
    <x v="3"/>
    <x v="2"/>
    <n v="284.22000000000003"/>
    <n v="1327.41"/>
    <n v="80.760000000000005"/>
    <n v="3379"/>
    <n v="5.18"/>
    <x v="0"/>
    <n v="2001"/>
    <x v="0"/>
    <s v="Private"/>
    <x v="0"/>
  </r>
  <r>
    <x v="281"/>
    <x v="4"/>
    <x v="1"/>
    <n v="50.33"/>
    <n v="693.5"/>
    <n v="6"/>
    <n v="1524"/>
    <n v="4.4400000000000004"/>
    <x v="1"/>
    <n v="2015"/>
    <x v="4"/>
    <s v="Private"/>
    <x v="1"/>
  </r>
  <r>
    <x v="282"/>
    <x v="2"/>
    <x v="3"/>
    <n v="231.41"/>
    <n v="2997.22"/>
    <n v="89.89"/>
    <n v="231"/>
    <n v="9.9600000000000009"/>
    <x v="1"/>
    <n v="1998"/>
    <x v="3"/>
    <s v="Private"/>
    <x v="0"/>
  </r>
  <r>
    <x v="283"/>
    <x v="7"/>
    <x v="0"/>
    <n v="212.72"/>
    <n v="1448.7"/>
    <n v="65.11"/>
    <n v="4973"/>
    <n v="2.37"/>
    <x v="0"/>
    <n v="1999"/>
    <x v="0"/>
    <s v="Private"/>
    <x v="0"/>
  </r>
  <r>
    <x v="284"/>
    <x v="5"/>
    <x v="1"/>
    <n v="142.34"/>
    <n v="2054.4699999999998"/>
    <n v="87.44"/>
    <n v="896"/>
    <n v="5.51"/>
    <x v="0"/>
    <n v="2021"/>
    <x v="1"/>
    <s v="Private"/>
    <x v="1"/>
  </r>
  <r>
    <x v="285"/>
    <x v="3"/>
    <x v="2"/>
    <n v="17.850000000000001"/>
    <n v="230.31"/>
    <n v="0.12"/>
    <n v="4077"/>
    <n v="6.74"/>
    <x v="0"/>
    <n v="2009"/>
    <x v="0"/>
    <s v="Private"/>
    <x v="0"/>
  </r>
  <r>
    <x v="286"/>
    <x v="0"/>
    <x v="3"/>
    <n v="22.87"/>
    <n v="251.47"/>
    <n v="16.989999999999998"/>
    <n v="2262"/>
    <n v="7.04"/>
    <x v="1"/>
    <n v="1991"/>
    <x v="0"/>
    <s v="Private"/>
    <x v="0"/>
  </r>
  <r>
    <x v="287"/>
    <x v="2"/>
    <x v="1"/>
    <n v="255.8"/>
    <n v="1141.1600000000001"/>
    <n v="39.04"/>
    <n v="2793"/>
    <n v="2.12"/>
    <x v="0"/>
    <n v="1990"/>
    <x v="3"/>
    <s v="Private"/>
    <x v="0"/>
  </r>
  <r>
    <x v="288"/>
    <x v="2"/>
    <x v="1"/>
    <n v="297.05"/>
    <n v="2595.86"/>
    <n v="38.01"/>
    <n v="401"/>
    <n v="6.57"/>
    <x v="1"/>
    <n v="2013"/>
    <x v="2"/>
    <s v="Acquired"/>
    <x v="1"/>
  </r>
  <r>
    <x v="289"/>
    <x v="0"/>
    <x v="1"/>
    <n v="202.98"/>
    <n v="1841.7"/>
    <n v="22.75"/>
    <n v="2083"/>
    <n v="8.1999999999999993"/>
    <x v="1"/>
    <n v="2016"/>
    <x v="2"/>
    <s v="Private"/>
    <x v="1"/>
  </r>
  <r>
    <x v="290"/>
    <x v="6"/>
    <x v="3"/>
    <n v="134.06"/>
    <n v="776.29"/>
    <n v="38.22"/>
    <n v="4749"/>
    <n v="0.6"/>
    <x v="0"/>
    <n v="1991"/>
    <x v="2"/>
    <s v="Private"/>
    <x v="0"/>
  </r>
  <r>
    <x v="291"/>
    <x v="2"/>
    <x v="3"/>
    <n v="194.45"/>
    <n v="769.94"/>
    <n v="12.97"/>
    <n v="4429"/>
    <n v="9.1199999999999992"/>
    <x v="1"/>
    <n v="2020"/>
    <x v="0"/>
    <s v="Acquired"/>
    <x v="1"/>
  </r>
  <r>
    <x v="292"/>
    <x v="1"/>
    <x v="4"/>
    <n v="178.52"/>
    <n v="2199.4899999999998"/>
    <n v="41.33"/>
    <n v="3242"/>
    <n v="0.39"/>
    <x v="0"/>
    <n v="2003"/>
    <x v="3"/>
    <s v="Private"/>
    <x v="0"/>
  </r>
  <r>
    <x v="293"/>
    <x v="7"/>
    <x v="2"/>
    <n v="115.39"/>
    <n v="515.15"/>
    <n v="80.260000000000005"/>
    <n v="3898"/>
    <n v="3.62"/>
    <x v="0"/>
    <n v="1991"/>
    <x v="4"/>
    <s v="Acquired"/>
    <x v="0"/>
  </r>
  <r>
    <x v="294"/>
    <x v="3"/>
    <x v="0"/>
    <n v="20.16"/>
    <n v="204.25"/>
    <n v="47.96"/>
    <n v="2010"/>
    <n v="0.26"/>
    <x v="1"/>
    <n v="2018"/>
    <x v="0"/>
    <s v="Private"/>
    <x v="1"/>
  </r>
  <r>
    <x v="295"/>
    <x v="0"/>
    <x v="1"/>
    <n v="246.54"/>
    <n v="3510.09"/>
    <n v="1.9"/>
    <n v="2021"/>
    <n v="0.86"/>
    <x v="0"/>
    <n v="2004"/>
    <x v="0"/>
    <s v="Private"/>
    <x v="0"/>
  </r>
  <r>
    <x v="296"/>
    <x v="1"/>
    <x v="4"/>
    <n v="111.86"/>
    <n v="1511.59"/>
    <n v="42.2"/>
    <n v="3176"/>
    <n v="9.1199999999999992"/>
    <x v="0"/>
    <n v="2001"/>
    <x v="3"/>
    <s v="Private"/>
    <x v="0"/>
  </r>
  <r>
    <x v="297"/>
    <x v="0"/>
    <x v="0"/>
    <n v="245.73"/>
    <n v="1556.22"/>
    <n v="2.81"/>
    <n v="2673"/>
    <n v="3.61"/>
    <x v="0"/>
    <n v="2017"/>
    <x v="1"/>
    <s v="Acquired"/>
    <x v="1"/>
  </r>
  <r>
    <x v="298"/>
    <x v="3"/>
    <x v="4"/>
    <n v="76.13"/>
    <n v="1006.24"/>
    <n v="96.63"/>
    <n v="1883"/>
    <n v="4.3099999999999996"/>
    <x v="0"/>
    <n v="2009"/>
    <x v="0"/>
    <s v="IPO"/>
    <x v="0"/>
  </r>
  <r>
    <x v="299"/>
    <x v="4"/>
    <x v="3"/>
    <n v="0.81"/>
    <n v="2.4300000000000002"/>
    <n v="12.83"/>
    <n v="1201"/>
    <n v="2.23"/>
    <x v="0"/>
    <n v="2013"/>
    <x v="1"/>
    <s v="Acquired"/>
    <x v="1"/>
  </r>
  <r>
    <x v="300"/>
    <x v="3"/>
    <x v="1"/>
    <n v="48.1"/>
    <n v="154.51"/>
    <n v="70.8"/>
    <n v="1777"/>
    <n v="6.01"/>
    <x v="1"/>
    <n v="2010"/>
    <x v="1"/>
    <s v="Private"/>
    <x v="0"/>
  </r>
  <r>
    <x v="301"/>
    <x v="6"/>
    <x v="0"/>
    <n v="140.83000000000001"/>
    <n v="1440.78"/>
    <n v="97.28"/>
    <n v="166"/>
    <n v="5.99"/>
    <x v="1"/>
    <n v="1999"/>
    <x v="2"/>
    <s v="Private"/>
    <x v="0"/>
  </r>
  <r>
    <x v="302"/>
    <x v="3"/>
    <x v="0"/>
    <n v="283.32"/>
    <n v="2090.2199999999998"/>
    <n v="82.62"/>
    <n v="3981"/>
    <n v="3.78"/>
    <x v="1"/>
    <n v="2003"/>
    <x v="3"/>
    <s v="Private"/>
    <x v="0"/>
  </r>
  <r>
    <x v="303"/>
    <x v="3"/>
    <x v="0"/>
    <n v="31.11"/>
    <n v="237.6"/>
    <n v="69.959999999999994"/>
    <n v="1756"/>
    <n v="3.4"/>
    <x v="0"/>
    <n v="2007"/>
    <x v="1"/>
    <s v="Private"/>
    <x v="0"/>
  </r>
  <r>
    <x v="304"/>
    <x v="6"/>
    <x v="0"/>
    <n v="256.33999999999997"/>
    <n v="2505.29"/>
    <n v="83.96"/>
    <n v="780"/>
    <n v="8.86"/>
    <x v="0"/>
    <n v="2013"/>
    <x v="3"/>
    <s v="Private"/>
    <x v="1"/>
  </r>
  <r>
    <x v="305"/>
    <x v="7"/>
    <x v="0"/>
    <n v="158.34"/>
    <n v="839.42"/>
    <n v="98.18"/>
    <n v="944"/>
    <n v="3.89"/>
    <x v="0"/>
    <n v="2003"/>
    <x v="2"/>
    <s v="Private"/>
    <x v="0"/>
  </r>
  <r>
    <x v="306"/>
    <x v="2"/>
    <x v="4"/>
    <n v="247.86"/>
    <n v="1373.41"/>
    <n v="62.17"/>
    <n v="3225"/>
    <n v="4.99"/>
    <x v="0"/>
    <n v="2001"/>
    <x v="3"/>
    <s v="Private"/>
    <x v="0"/>
  </r>
  <r>
    <x v="307"/>
    <x v="3"/>
    <x v="1"/>
    <n v="89.86"/>
    <n v="792.14"/>
    <n v="55.96"/>
    <n v="544"/>
    <n v="2.9"/>
    <x v="0"/>
    <n v="2011"/>
    <x v="0"/>
    <s v="Private"/>
    <x v="1"/>
  </r>
  <r>
    <x v="308"/>
    <x v="6"/>
    <x v="3"/>
    <n v="252.06"/>
    <n v="3037.59"/>
    <n v="62.86"/>
    <n v="4922"/>
    <n v="7.89"/>
    <x v="0"/>
    <n v="1995"/>
    <x v="1"/>
    <s v="Private"/>
    <x v="0"/>
  </r>
  <r>
    <x v="309"/>
    <x v="1"/>
    <x v="3"/>
    <n v="231.96"/>
    <n v="2420.2600000000002"/>
    <n v="53.31"/>
    <n v="1466"/>
    <n v="4.03"/>
    <x v="0"/>
    <n v="2011"/>
    <x v="3"/>
    <s v="IPO"/>
    <x v="1"/>
  </r>
  <r>
    <x v="310"/>
    <x v="4"/>
    <x v="3"/>
    <n v="69.400000000000006"/>
    <n v="455.84"/>
    <n v="63.55"/>
    <n v="360"/>
    <n v="5.18"/>
    <x v="0"/>
    <n v="2003"/>
    <x v="4"/>
    <s v="Acquired"/>
    <x v="0"/>
  </r>
  <r>
    <x v="311"/>
    <x v="4"/>
    <x v="3"/>
    <n v="39.83"/>
    <n v="325.17"/>
    <n v="45.04"/>
    <n v="3609"/>
    <n v="2.61"/>
    <x v="1"/>
    <n v="2005"/>
    <x v="3"/>
    <s v="Private"/>
    <x v="0"/>
  </r>
  <r>
    <x v="312"/>
    <x v="3"/>
    <x v="4"/>
    <n v="260.48"/>
    <n v="1314.9"/>
    <n v="21.92"/>
    <n v="3328"/>
    <n v="9.8800000000000008"/>
    <x v="1"/>
    <n v="2014"/>
    <x v="1"/>
    <s v="Acquired"/>
    <x v="1"/>
  </r>
  <r>
    <x v="313"/>
    <x v="7"/>
    <x v="2"/>
    <n v="288.99"/>
    <n v="1125.78"/>
    <n v="12.11"/>
    <n v="239"/>
    <n v="2.99"/>
    <x v="1"/>
    <n v="2021"/>
    <x v="2"/>
    <s v="Private"/>
    <x v="1"/>
  </r>
  <r>
    <x v="314"/>
    <x v="7"/>
    <x v="1"/>
    <n v="9.8800000000000008"/>
    <n v="122.44"/>
    <n v="6.93"/>
    <n v="1553"/>
    <n v="7.73"/>
    <x v="1"/>
    <n v="2022"/>
    <x v="2"/>
    <s v="Private"/>
    <x v="1"/>
  </r>
  <r>
    <x v="315"/>
    <x v="1"/>
    <x v="0"/>
    <n v="219.52"/>
    <n v="1357.65"/>
    <n v="26.41"/>
    <n v="2101"/>
    <n v="4.33"/>
    <x v="1"/>
    <n v="2009"/>
    <x v="1"/>
    <s v="Private"/>
    <x v="0"/>
  </r>
  <r>
    <x v="316"/>
    <x v="3"/>
    <x v="2"/>
    <n v="272.89999999999998"/>
    <n v="1400.85"/>
    <n v="4.71"/>
    <n v="4218"/>
    <n v="2.14"/>
    <x v="0"/>
    <n v="2007"/>
    <x v="0"/>
    <s v="Private"/>
    <x v="0"/>
  </r>
  <r>
    <x v="317"/>
    <x v="4"/>
    <x v="3"/>
    <n v="257.27999999999997"/>
    <n v="2907.11"/>
    <n v="56.76"/>
    <n v="2106"/>
    <n v="8.02"/>
    <x v="0"/>
    <n v="1992"/>
    <x v="0"/>
    <s v="Acquired"/>
    <x v="0"/>
  </r>
  <r>
    <x v="318"/>
    <x v="7"/>
    <x v="2"/>
    <n v="289.37"/>
    <n v="3014.26"/>
    <n v="28.45"/>
    <n v="1678"/>
    <n v="3.4"/>
    <x v="1"/>
    <n v="2012"/>
    <x v="2"/>
    <s v="Private"/>
    <x v="1"/>
  </r>
  <r>
    <x v="319"/>
    <x v="3"/>
    <x v="1"/>
    <n v="228.15"/>
    <n v="2418"/>
    <n v="82.47"/>
    <n v="2105"/>
    <n v="8.67"/>
    <x v="1"/>
    <n v="2021"/>
    <x v="2"/>
    <s v="Private"/>
    <x v="1"/>
  </r>
  <r>
    <x v="320"/>
    <x v="0"/>
    <x v="0"/>
    <n v="132.97"/>
    <n v="764.14"/>
    <n v="7.52"/>
    <n v="3662"/>
    <n v="9.16"/>
    <x v="1"/>
    <n v="2005"/>
    <x v="1"/>
    <s v="Private"/>
    <x v="0"/>
  </r>
  <r>
    <x v="321"/>
    <x v="7"/>
    <x v="0"/>
    <n v="93.93"/>
    <n v="544.02"/>
    <n v="22.71"/>
    <n v="4658"/>
    <n v="8.61"/>
    <x v="1"/>
    <n v="1994"/>
    <x v="0"/>
    <s v="Private"/>
    <x v="0"/>
  </r>
  <r>
    <x v="322"/>
    <x v="6"/>
    <x v="1"/>
    <n v="96.56"/>
    <n v="545.53"/>
    <n v="73.05"/>
    <n v="3601"/>
    <n v="0.45"/>
    <x v="0"/>
    <n v="1993"/>
    <x v="2"/>
    <s v="Private"/>
    <x v="0"/>
  </r>
  <r>
    <x v="323"/>
    <x v="0"/>
    <x v="1"/>
    <n v="217.46"/>
    <n v="1105.79"/>
    <n v="59.92"/>
    <n v="3753"/>
    <n v="7.89"/>
    <x v="1"/>
    <n v="2010"/>
    <x v="0"/>
    <s v="Private"/>
    <x v="0"/>
  </r>
  <r>
    <x v="324"/>
    <x v="2"/>
    <x v="3"/>
    <n v="223.88"/>
    <n v="2433.2800000000002"/>
    <n v="6.54"/>
    <n v="3178"/>
    <n v="4.17"/>
    <x v="1"/>
    <n v="2003"/>
    <x v="2"/>
    <s v="Private"/>
    <x v="0"/>
  </r>
  <r>
    <x v="325"/>
    <x v="7"/>
    <x v="0"/>
    <n v="60.51"/>
    <n v="797.29"/>
    <n v="87.74"/>
    <n v="1820"/>
    <n v="8.75"/>
    <x v="0"/>
    <n v="2020"/>
    <x v="3"/>
    <s v="Acquired"/>
    <x v="1"/>
  </r>
  <r>
    <x v="326"/>
    <x v="4"/>
    <x v="2"/>
    <n v="260.5"/>
    <n v="3045.72"/>
    <n v="87.74"/>
    <n v="3846"/>
    <n v="6.42"/>
    <x v="1"/>
    <n v="2003"/>
    <x v="4"/>
    <s v="Private"/>
    <x v="0"/>
  </r>
  <r>
    <x v="327"/>
    <x v="5"/>
    <x v="4"/>
    <n v="214.62"/>
    <n v="2683.85"/>
    <n v="33.11"/>
    <n v="2010"/>
    <n v="8.35"/>
    <x v="0"/>
    <n v="1995"/>
    <x v="3"/>
    <s v="Private"/>
    <x v="0"/>
  </r>
  <r>
    <x v="328"/>
    <x v="0"/>
    <x v="4"/>
    <n v="169.04"/>
    <n v="1328.25"/>
    <n v="34.11"/>
    <n v="4498"/>
    <n v="5.04"/>
    <x v="1"/>
    <n v="2001"/>
    <x v="2"/>
    <s v="Private"/>
    <x v="0"/>
  </r>
  <r>
    <x v="329"/>
    <x v="2"/>
    <x v="1"/>
    <n v="141.72"/>
    <n v="1537.51"/>
    <n v="98.9"/>
    <n v="679"/>
    <n v="5.4"/>
    <x v="1"/>
    <n v="2005"/>
    <x v="4"/>
    <s v="Private"/>
    <x v="0"/>
  </r>
  <r>
    <x v="330"/>
    <x v="1"/>
    <x v="3"/>
    <n v="163.19999999999999"/>
    <n v="1183.3399999999999"/>
    <n v="62.65"/>
    <n v="391"/>
    <n v="1.53"/>
    <x v="0"/>
    <n v="2006"/>
    <x v="4"/>
    <s v="Private"/>
    <x v="0"/>
  </r>
  <r>
    <x v="331"/>
    <x v="1"/>
    <x v="4"/>
    <n v="48.19"/>
    <n v="448.46"/>
    <n v="53.18"/>
    <n v="2163"/>
    <n v="7.86"/>
    <x v="1"/>
    <n v="2012"/>
    <x v="2"/>
    <s v="Private"/>
    <x v="1"/>
  </r>
  <r>
    <x v="332"/>
    <x v="4"/>
    <x v="0"/>
    <n v="61.51"/>
    <n v="540.03"/>
    <n v="83.83"/>
    <n v="2666"/>
    <n v="4.25"/>
    <x v="0"/>
    <n v="2003"/>
    <x v="2"/>
    <s v="Private"/>
    <x v="0"/>
  </r>
  <r>
    <x v="333"/>
    <x v="7"/>
    <x v="1"/>
    <n v="27.8"/>
    <n v="142.41"/>
    <n v="28.6"/>
    <n v="2069"/>
    <n v="5.05"/>
    <x v="1"/>
    <n v="1996"/>
    <x v="0"/>
    <s v="Acquired"/>
    <x v="0"/>
  </r>
  <r>
    <x v="334"/>
    <x v="3"/>
    <x v="2"/>
    <n v="46.52"/>
    <n v="355.64"/>
    <n v="42.98"/>
    <n v="3856"/>
    <n v="7.87"/>
    <x v="0"/>
    <n v="2021"/>
    <x v="2"/>
    <s v="Private"/>
    <x v="1"/>
  </r>
  <r>
    <x v="335"/>
    <x v="7"/>
    <x v="1"/>
    <n v="136.38"/>
    <n v="1986.49"/>
    <n v="26.85"/>
    <n v="3258"/>
    <n v="6.03"/>
    <x v="1"/>
    <n v="2004"/>
    <x v="1"/>
    <s v="Acquired"/>
    <x v="0"/>
  </r>
  <r>
    <x v="336"/>
    <x v="4"/>
    <x v="2"/>
    <n v="159.34"/>
    <n v="953.33"/>
    <n v="78.94"/>
    <n v="4984"/>
    <n v="2.09"/>
    <x v="0"/>
    <n v="2006"/>
    <x v="2"/>
    <s v="Acquired"/>
    <x v="0"/>
  </r>
  <r>
    <x v="337"/>
    <x v="1"/>
    <x v="1"/>
    <n v="5.85"/>
    <n v="26.94"/>
    <n v="57.38"/>
    <n v="4641"/>
    <n v="5.94"/>
    <x v="1"/>
    <n v="1994"/>
    <x v="1"/>
    <s v="Private"/>
    <x v="0"/>
  </r>
  <r>
    <x v="338"/>
    <x v="7"/>
    <x v="1"/>
    <n v="239.14"/>
    <n v="1918.61"/>
    <n v="65.92"/>
    <n v="4271"/>
    <n v="4.1399999999999997"/>
    <x v="0"/>
    <n v="2016"/>
    <x v="2"/>
    <s v="Private"/>
    <x v="1"/>
  </r>
  <r>
    <x v="339"/>
    <x v="1"/>
    <x v="1"/>
    <n v="88.6"/>
    <n v="1106.0899999999999"/>
    <n v="25.31"/>
    <n v="744"/>
    <n v="4.75"/>
    <x v="1"/>
    <n v="2012"/>
    <x v="0"/>
    <s v="Private"/>
    <x v="1"/>
  </r>
  <r>
    <x v="340"/>
    <x v="0"/>
    <x v="2"/>
    <n v="273.58999999999997"/>
    <n v="2732.01"/>
    <n v="22.1"/>
    <n v="1406"/>
    <n v="0.38"/>
    <x v="1"/>
    <n v="2003"/>
    <x v="1"/>
    <s v="IPO"/>
    <x v="0"/>
  </r>
  <r>
    <x v="341"/>
    <x v="2"/>
    <x v="2"/>
    <n v="290.27"/>
    <n v="3242.81"/>
    <n v="48.89"/>
    <n v="3264"/>
    <n v="2.1800000000000002"/>
    <x v="1"/>
    <n v="2004"/>
    <x v="3"/>
    <s v="Private"/>
    <x v="0"/>
  </r>
  <r>
    <x v="342"/>
    <x v="3"/>
    <x v="1"/>
    <n v="56.04"/>
    <n v="295.69"/>
    <n v="73.78"/>
    <n v="2282"/>
    <n v="2.88"/>
    <x v="1"/>
    <n v="2022"/>
    <x v="1"/>
    <s v="Private"/>
    <x v="1"/>
  </r>
  <r>
    <x v="343"/>
    <x v="0"/>
    <x v="4"/>
    <n v="138.9"/>
    <n v="1448.36"/>
    <n v="52.57"/>
    <n v="3909"/>
    <n v="7.16"/>
    <x v="1"/>
    <n v="2020"/>
    <x v="0"/>
    <s v="Private"/>
    <x v="1"/>
  </r>
  <r>
    <x v="344"/>
    <x v="1"/>
    <x v="3"/>
    <n v="0.87"/>
    <n v="5.99"/>
    <n v="3.36"/>
    <n v="3928"/>
    <n v="0.21"/>
    <x v="0"/>
    <n v="2006"/>
    <x v="1"/>
    <s v="Private"/>
    <x v="0"/>
  </r>
  <r>
    <x v="345"/>
    <x v="1"/>
    <x v="3"/>
    <n v="179.7"/>
    <n v="2338.19"/>
    <n v="86.87"/>
    <n v="4219"/>
    <n v="4.1500000000000004"/>
    <x v="0"/>
    <n v="2017"/>
    <x v="2"/>
    <s v="Private"/>
    <x v="1"/>
  </r>
  <r>
    <x v="346"/>
    <x v="5"/>
    <x v="3"/>
    <n v="182.39"/>
    <n v="1924.5"/>
    <n v="6.56"/>
    <n v="3232"/>
    <n v="9.25"/>
    <x v="0"/>
    <n v="2008"/>
    <x v="2"/>
    <s v="Private"/>
    <x v="0"/>
  </r>
  <r>
    <x v="347"/>
    <x v="5"/>
    <x v="2"/>
    <n v="74.64"/>
    <n v="402.03"/>
    <n v="95.59"/>
    <n v="2836"/>
    <n v="1.21"/>
    <x v="1"/>
    <n v="2012"/>
    <x v="0"/>
    <s v="Private"/>
    <x v="1"/>
  </r>
  <r>
    <x v="348"/>
    <x v="0"/>
    <x v="2"/>
    <n v="167.74"/>
    <n v="633.29"/>
    <n v="2.61"/>
    <n v="3763"/>
    <n v="5.21"/>
    <x v="1"/>
    <n v="2021"/>
    <x v="4"/>
    <s v="Acquired"/>
    <x v="1"/>
  </r>
  <r>
    <x v="349"/>
    <x v="6"/>
    <x v="4"/>
    <n v="68.05"/>
    <n v="238.96"/>
    <n v="69.48"/>
    <n v="2517"/>
    <n v="7.89"/>
    <x v="0"/>
    <n v="2002"/>
    <x v="2"/>
    <s v="Private"/>
    <x v="0"/>
  </r>
  <r>
    <x v="350"/>
    <x v="0"/>
    <x v="3"/>
    <n v="48.67"/>
    <n v="362.93"/>
    <n v="8.31"/>
    <n v="2156"/>
    <n v="9.43"/>
    <x v="1"/>
    <n v="2009"/>
    <x v="3"/>
    <s v="Private"/>
    <x v="0"/>
  </r>
  <r>
    <x v="351"/>
    <x v="5"/>
    <x v="3"/>
    <n v="195.63"/>
    <n v="1210.99"/>
    <n v="91.08"/>
    <n v="3680"/>
    <n v="7.49"/>
    <x v="1"/>
    <n v="1994"/>
    <x v="0"/>
    <s v="Private"/>
    <x v="0"/>
  </r>
  <r>
    <x v="352"/>
    <x v="1"/>
    <x v="1"/>
    <n v="98.11"/>
    <n v="1054.98"/>
    <n v="46.5"/>
    <n v="2750"/>
    <n v="7.23"/>
    <x v="1"/>
    <n v="1998"/>
    <x v="1"/>
    <s v="Acquired"/>
    <x v="0"/>
  </r>
  <r>
    <x v="353"/>
    <x v="4"/>
    <x v="2"/>
    <n v="177.28"/>
    <n v="1594.1"/>
    <n v="13.84"/>
    <n v="3871"/>
    <n v="8.2799999999999994"/>
    <x v="0"/>
    <n v="2018"/>
    <x v="1"/>
    <s v="Private"/>
    <x v="1"/>
  </r>
  <r>
    <x v="354"/>
    <x v="0"/>
    <x v="3"/>
    <n v="130.26"/>
    <n v="806.6"/>
    <n v="34.15"/>
    <n v="3769"/>
    <n v="4.5199999999999996"/>
    <x v="0"/>
    <n v="1995"/>
    <x v="3"/>
    <s v="Private"/>
    <x v="0"/>
  </r>
  <r>
    <x v="355"/>
    <x v="1"/>
    <x v="4"/>
    <n v="295.31"/>
    <n v="1414.79"/>
    <n v="16.57"/>
    <n v="2227"/>
    <n v="8.08"/>
    <x v="0"/>
    <n v="2014"/>
    <x v="2"/>
    <s v="Private"/>
    <x v="1"/>
  </r>
  <r>
    <x v="356"/>
    <x v="4"/>
    <x v="4"/>
    <n v="45.3"/>
    <n v="205.05"/>
    <n v="17.14"/>
    <n v="2797"/>
    <n v="0.18"/>
    <x v="1"/>
    <n v="2020"/>
    <x v="0"/>
    <s v="Acquired"/>
    <x v="1"/>
  </r>
  <r>
    <x v="357"/>
    <x v="4"/>
    <x v="3"/>
    <n v="139.65"/>
    <n v="1867.95"/>
    <n v="94.82"/>
    <n v="1702"/>
    <n v="9.25"/>
    <x v="0"/>
    <n v="2011"/>
    <x v="3"/>
    <s v="Private"/>
    <x v="1"/>
  </r>
  <r>
    <x v="358"/>
    <x v="5"/>
    <x v="2"/>
    <n v="204.3"/>
    <n v="1209.81"/>
    <n v="44.58"/>
    <n v="3467"/>
    <n v="4.49"/>
    <x v="0"/>
    <n v="1991"/>
    <x v="2"/>
    <s v="Private"/>
    <x v="0"/>
  </r>
  <r>
    <x v="359"/>
    <x v="0"/>
    <x v="4"/>
    <n v="118.97"/>
    <n v="1287.32"/>
    <n v="78.900000000000006"/>
    <n v="4068"/>
    <n v="5.58"/>
    <x v="1"/>
    <n v="1994"/>
    <x v="0"/>
    <s v="Private"/>
    <x v="0"/>
  </r>
  <r>
    <x v="360"/>
    <x v="7"/>
    <x v="1"/>
    <n v="292.42"/>
    <n v="3721.99"/>
    <n v="64"/>
    <n v="1529"/>
    <n v="2.62"/>
    <x v="1"/>
    <n v="2016"/>
    <x v="1"/>
    <s v="IPO"/>
    <x v="1"/>
  </r>
  <r>
    <x v="361"/>
    <x v="3"/>
    <x v="4"/>
    <n v="216.71"/>
    <n v="2247.06"/>
    <n v="67.67"/>
    <n v="4765"/>
    <n v="7.45"/>
    <x v="1"/>
    <n v="2014"/>
    <x v="0"/>
    <s v="Private"/>
    <x v="1"/>
  </r>
  <r>
    <x v="362"/>
    <x v="5"/>
    <x v="0"/>
    <n v="197.27"/>
    <n v="2626.61"/>
    <n v="13.26"/>
    <n v="37"/>
    <n v="0.86"/>
    <x v="0"/>
    <n v="1997"/>
    <x v="4"/>
    <s v="Private"/>
    <x v="0"/>
  </r>
  <r>
    <x v="363"/>
    <x v="5"/>
    <x v="0"/>
    <n v="227.24"/>
    <n v="1751.73"/>
    <n v="23.5"/>
    <n v="4030"/>
    <n v="8.74"/>
    <x v="0"/>
    <n v="1990"/>
    <x v="0"/>
    <s v="Acquired"/>
    <x v="0"/>
  </r>
  <r>
    <x v="364"/>
    <x v="7"/>
    <x v="2"/>
    <n v="285.82"/>
    <n v="4137.1499999999996"/>
    <n v="78.7"/>
    <n v="2571"/>
    <n v="8.3000000000000007"/>
    <x v="1"/>
    <n v="2009"/>
    <x v="4"/>
    <s v="Acquired"/>
    <x v="0"/>
  </r>
  <r>
    <x v="365"/>
    <x v="3"/>
    <x v="3"/>
    <n v="272.39"/>
    <n v="1252.3800000000001"/>
    <n v="97.08"/>
    <n v="2808"/>
    <n v="2.2400000000000002"/>
    <x v="0"/>
    <n v="2012"/>
    <x v="0"/>
    <s v="Private"/>
    <x v="1"/>
  </r>
  <r>
    <x v="366"/>
    <x v="1"/>
    <x v="2"/>
    <n v="217.42"/>
    <n v="918.77"/>
    <n v="26.34"/>
    <n v="3901"/>
    <n v="8.11"/>
    <x v="0"/>
    <n v="2021"/>
    <x v="4"/>
    <s v="IPO"/>
    <x v="1"/>
  </r>
  <r>
    <x v="367"/>
    <x v="6"/>
    <x v="2"/>
    <n v="224.87"/>
    <n v="2452.0500000000002"/>
    <n v="27.23"/>
    <n v="3714"/>
    <n v="7.88"/>
    <x v="0"/>
    <n v="2000"/>
    <x v="1"/>
    <s v="Acquired"/>
    <x v="0"/>
  </r>
  <r>
    <x v="368"/>
    <x v="0"/>
    <x v="2"/>
    <n v="44.2"/>
    <n v="632.67999999999995"/>
    <n v="47.34"/>
    <n v="724"/>
    <n v="6.36"/>
    <x v="0"/>
    <n v="2013"/>
    <x v="2"/>
    <s v="Private"/>
    <x v="1"/>
  </r>
  <r>
    <x v="369"/>
    <x v="6"/>
    <x v="2"/>
    <n v="31.29"/>
    <n v="397.59"/>
    <n v="98.39"/>
    <n v="4584"/>
    <n v="3.8"/>
    <x v="0"/>
    <n v="2000"/>
    <x v="4"/>
    <s v="Private"/>
    <x v="0"/>
  </r>
  <r>
    <x v="370"/>
    <x v="1"/>
    <x v="1"/>
    <n v="171.49"/>
    <n v="671.73"/>
    <n v="26.97"/>
    <n v="977"/>
    <n v="2.79"/>
    <x v="0"/>
    <n v="2018"/>
    <x v="4"/>
    <s v="Acquired"/>
    <x v="1"/>
  </r>
  <r>
    <x v="371"/>
    <x v="2"/>
    <x v="1"/>
    <n v="6"/>
    <n v="38.11"/>
    <n v="40.76"/>
    <n v="3723"/>
    <n v="2.39"/>
    <x v="0"/>
    <n v="2015"/>
    <x v="1"/>
    <s v="Private"/>
    <x v="1"/>
  </r>
  <r>
    <x v="372"/>
    <x v="5"/>
    <x v="4"/>
    <n v="144.97"/>
    <n v="2053.33"/>
    <n v="89.16"/>
    <n v="4407"/>
    <n v="3.25"/>
    <x v="0"/>
    <n v="2005"/>
    <x v="4"/>
    <s v="Acquired"/>
    <x v="0"/>
  </r>
  <r>
    <x v="373"/>
    <x v="3"/>
    <x v="0"/>
    <n v="63.5"/>
    <n v="383.33"/>
    <n v="0.39"/>
    <n v="4557"/>
    <n v="9.0500000000000007"/>
    <x v="1"/>
    <n v="2009"/>
    <x v="3"/>
    <s v="Acquired"/>
    <x v="0"/>
  </r>
  <r>
    <x v="374"/>
    <x v="5"/>
    <x v="2"/>
    <n v="104.13"/>
    <n v="1288.51"/>
    <n v="4.07"/>
    <n v="2212"/>
    <n v="0.87"/>
    <x v="0"/>
    <n v="1992"/>
    <x v="1"/>
    <s v="Acquired"/>
    <x v="0"/>
  </r>
  <r>
    <x v="375"/>
    <x v="4"/>
    <x v="4"/>
    <n v="232.85"/>
    <n v="3004.13"/>
    <n v="60.45"/>
    <n v="4431"/>
    <n v="8.31"/>
    <x v="1"/>
    <n v="1990"/>
    <x v="3"/>
    <s v="Private"/>
    <x v="0"/>
  </r>
  <r>
    <x v="376"/>
    <x v="5"/>
    <x v="0"/>
    <n v="282.39999999999998"/>
    <n v="2526.19"/>
    <n v="90.75"/>
    <n v="4325"/>
    <n v="3.55"/>
    <x v="0"/>
    <n v="1990"/>
    <x v="1"/>
    <s v="Acquired"/>
    <x v="0"/>
  </r>
  <r>
    <x v="377"/>
    <x v="5"/>
    <x v="3"/>
    <n v="22.19"/>
    <n v="169.45"/>
    <n v="23.96"/>
    <n v="3035"/>
    <n v="5.26"/>
    <x v="0"/>
    <n v="2006"/>
    <x v="4"/>
    <s v="Acquired"/>
    <x v="0"/>
  </r>
  <r>
    <x v="378"/>
    <x v="1"/>
    <x v="1"/>
    <n v="160.51"/>
    <n v="1348.52"/>
    <n v="47.02"/>
    <n v="3580"/>
    <n v="7.97"/>
    <x v="1"/>
    <n v="1991"/>
    <x v="3"/>
    <s v="Private"/>
    <x v="0"/>
  </r>
  <r>
    <x v="379"/>
    <x v="1"/>
    <x v="0"/>
    <n v="264.82"/>
    <n v="1515.72"/>
    <n v="45.1"/>
    <n v="3121"/>
    <n v="8.86"/>
    <x v="0"/>
    <n v="2018"/>
    <x v="4"/>
    <s v="Private"/>
    <x v="1"/>
  </r>
  <r>
    <x v="380"/>
    <x v="1"/>
    <x v="3"/>
    <n v="25.21"/>
    <n v="344.69"/>
    <n v="47.35"/>
    <n v="3290"/>
    <n v="3.51"/>
    <x v="0"/>
    <n v="2009"/>
    <x v="1"/>
    <s v="IPO"/>
    <x v="0"/>
  </r>
  <r>
    <x v="381"/>
    <x v="6"/>
    <x v="0"/>
    <n v="247.44"/>
    <n v="2080.34"/>
    <n v="62.29"/>
    <n v="648"/>
    <n v="4.67"/>
    <x v="0"/>
    <n v="1995"/>
    <x v="4"/>
    <s v="Private"/>
    <x v="0"/>
  </r>
  <r>
    <x v="382"/>
    <x v="4"/>
    <x v="1"/>
    <n v="107.66"/>
    <n v="1463.05"/>
    <n v="47.03"/>
    <n v="4716"/>
    <n v="4.2"/>
    <x v="1"/>
    <n v="1997"/>
    <x v="3"/>
    <s v="Acquired"/>
    <x v="0"/>
  </r>
  <r>
    <x v="383"/>
    <x v="2"/>
    <x v="1"/>
    <n v="96.97"/>
    <n v="413.9"/>
    <n v="44.8"/>
    <n v="199"/>
    <n v="0.23"/>
    <x v="0"/>
    <n v="2018"/>
    <x v="3"/>
    <s v="Private"/>
    <x v="1"/>
  </r>
  <r>
    <x v="384"/>
    <x v="2"/>
    <x v="4"/>
    <n v="293.25"/>
    <n v="4357.49"/>
    <n v="47.48"/>
    <n v="4001"/>
    <n v="3.03"/>
    <x v="0"/>
    <n v="2022"/>
    <x v="4"/>
    <s v="Private"/>
    <x v="1"/>
  </r>
  <r>
    <x v="385"/>
    <x v="1"/>
    <x v="2"/>
    <n v="60.66"/>
    <n v="504.65"/>
    <n v="59.13"/>
    <n v="493"/>
    <n v="4.6500000000000004"/>
    <x v="1"/>
    <n v="1992"/>
    <x v="0"/>
    <s v="Private"/>
    <x v="0"/>
  </r>
  <r>
    <x v="386"/>
    <x v="3"/>
    <x v="0"/>
    <n v="208.11"/>
    <n v="743.78"/>
    <n v="53.75"/>
    <n v="2209"/>
    <n v="4.17"/>
    <x v="0"/>
    <n v="1994"/>
    <x v="1"/>
    <s v="Private"/>
    <x v="0"/>
  </r>
  <r>
    <x v="387"/>
    <x v="6"/>
    <x v="0"/>
    <n v="246.52"/>
    <n v="852.04"/>
    <n v="85.43"/>
    <n v="2662"/>
    <n v="7.25"/>
    <x v="0"/>
    <n v="2016"/>
    <x v="1"/>
    <s v="Private"/>
    <x v="1"/>
  </r>
  <r>
    <x v="388"/>
    <x v="7"/>
    <x v="3"/>
    <n v="12.83"/>
    <n v="153.38"/>
    <n v="5.04"/>
    <n v="3281"/>
    <n v="3.91"/>
    <x v="0"/>
    <n v="2001"/>
    <x v="4"/>
    <s v="Acquired"/>
    <x v="0"/>
  </r>
  <r>
    <x v="389"/>
    <x v="3"/>
    <x v="1"/>
    <n v="201.28"/>
    <n v="2195.65"/>
    <n v="83.35"/>
    <n v="1107"/>
    <n v="4.9400000000000004"/>
    <x v="1"/>
    <n v="2009"/>
    <x v="0"/>
    <s v="Private"/>
    <x v="0"/>
  </r>
  <r>
    <x v="390"/>
    <x v="0"/>
    <x v="0"/>
    <n v="285.49"/>
    <n v="3604.47"/>
    <n v="84.41"/>
    <n v="1246"/>
    <n v="4.3499999999999996"/>
    <x v="0"/>
    <n v="2009"/>
    <x v="3"/>
    <s v="Acquired"/>
    <x v="0"/>
  </r>
  <r>
    <x v="391"/>
    <x v="0"/>
    <x v="1"/>
    <n v="37.700000000000003"/>
    <n v="160.77000000000001"/>
    <n v="28.56"/>
    <n v="520"/>
    <n v="7.43"/>
    <x v="0"/>
    <n v="1998"/>
    <x v="2"/>
    <s v="Private"/>
    <x v="0"/>
  </r>
  <r>
    <x v="392"/>
    <x v="3"/>
    <x v="0"/>
    <n v="268.92"/>
    <n v="921.55"/>
    <n v="46.34"/>
    <n v="397"/>
    <n v="8.64"/>
    <x v="0"/>
    <n v="1993"/>
    <x v="2"/>
    <s v="Private"/>
    <x v="0"/>
  </r>
  <r>
    <x v="393"/>
    <x v="1"/>
    <x v="4"/>
    <n v="178.64"/>
    <n v="1626.15"/>
    <n v="43.91"/>
    <n v="635"/>
    <n v="5.37"/>
    <x v="1"/>
    <n v="2008"/>
    <x v="4"/>
    <s v="Private"/>
    <x v="0"/>
  </r>
  <r>
    <x v="394"/>
    <x v="7"/>
    <x v="2"/>
    <n v="185.17"/>
    <n v="1416.76"/>
    <n v="21.93"/>
    <n v="3721"/>
    <n v="7.92"/>
    <x v="0"/>
    <n v="2016"/>
    <x v="0"/>
    <s v="Private"/>
    <x v="1"/>
  </r>
  <r>
    <x v="395"/>
    <x v="7"/>
    <x v="0"/>
    <n v="184.08"/>
    <n v="1572.66"/>
    <n v="39.74"/>
    <n v="1852"/>
    <n v="3.04"/>
    <x v="1"/>
    <n v="2002"/>
    <x v="0"/>
    <s v="Private"/>
    <x v="0"/>
  </r>
  <r>
    <x v="396"/>
    <x v="6"/>
    <x v="1"/>
    <n v="90"/>
    <n v="1340.92"/>
    <n v="4.53"/>
    <n v="2660"/>
    <n v="5.46"/>
    <x v="0"/>
    <n v="2002"/>
    <x v="1"/>
    <s v="Private"/>
    <x v="0"/>
  </r>
  <r>
    <x v="397"/>
    <x v="7"/>
    <x v="4"/>
    <n v="280.58999999999997"/>
    <n v="4110.3599999999997"/>
    <n v="27.85"/>
    <n v="984"/>
    <n v="3.52"/>
    <x v="1"/>
    <n v="2011"/>
    <x v="3"/>
    <s v="IPO"/>
    <x v="1"/>
  </r>
  <r>
    <x v="398"/>
    <x v="0"/>
    <x v="0"/>
    <n v="284.23"/>
    <n v="4066.7"/>
    <n v="81.69"/>
    <n v="4534"/>
    <n v="4.2"/>
    <x v="1"/>
    <n v="2017"/>
    <x v="0"/>
    <s v="Private"/>
    <x v="1"/>
  </r>
  <r>
    <x v="399"/>
    <x v="4"/>
    <x v="3"/>
    <n v="187.78"/>
    <n v="2329.62"/>
    <n v="28.53"/>
    <n v="3407"/>
    <n v="7.35"/>
    <x v="0"/>
    <n v="2011"/>
    <x v="2"/>
    <s v="Private"/>
    <x v="1"/>
  </r>
  <r>
    <x v="400"/>
    <x v="1"/>
    <x v="2"/>
    <n v="235.14"/>
    <n v="1706.67"/>
    <n v="81.84"/>
    <n v="3876"/>
    <n v="8.83"/>
    <x v="0"/>
    <n v="2008"/>
    <x v="3"/>
    <s v="Private"/>
    <x v="0"/>
  </r>
  <r>
    <x v="401"/>
    <x v="7"/>
    <x v="0"/>
    <n v="183.87"/>
    <n v="1460.95"/>
    <n v="53.21"/>
    <n v="282"/>
    <n v="1.3"/>
    <x v="0"/>
    <n v="1997"/>
    <x v="3"/>
    <s v="Private"/>
    <x v="0"/>
  </r>
  <r>
    <x v="402"/>
    <x v="6"/>
    <x v="4"/>
    <n v="145.58000000000001"/>
    <n v="1396.9"/>
    <n v="88"/>
    <n v="237"/>
    <n v="6.38"/>
    <x v="0"/>
    <n v="1997"/>
    <x v="4"/>
    <s v="IPO"/>
    <x v="0"/>
  </r>
  <r>
    <x v="403"/>
    <x v="0"/>
    <x v="3"/>
    <n v="198.42"/>
    <n v="2572.8000000000002"/>
    <n v="57.52"/>
    <n v="1557"/>
    <n v="5.86"/>
    <x v="1"/>
    <n v="2015"/>
    <x v="0"/>
    <s v="Private"/>
    <x v="1"/>
  </r>
  <r>
    <x v="404"/>
    <x v="4"/>
    <x v="4"/>
    <n v="166.12"/>
    <n v="635.33000000000004"/>
    <n v="3.06"/>
    <n v="3275"/>
    <n v="1.27"/>
    <x v="0"/>
    <n v="2015"/>
    <x v="4"/>
    <s v="Private"/>
    <x v="1"/>
  </r>
  <r>
    <x v="405"/>
    <x v="5"/>
    <x v="4"/>
    <n v="179.44"/>
    <n v="1451.95"/>
    <n v="67.569999999999993"/>
    <n v="2414"/>
    <n v="2.2000000000000002"/>
    <x v="0"/>
    <n v="2012"/>
    <x v="0"/>
    <s v="Acquired"/>
    <x v="1"/>
  </r>
  <r>
    <x v="406"/>
    <x v="5"/>
    <x v="3"/>
    <n v="235.26"/>
    <n v="939.02"/>
    <n v="4.58"/>
    <n v="3517"/>
    <n v="3.18"/>
    <x v="0"/>
    <n v="2002"/>
    <x v="1"/>
    <s v="Private"/>
    <x v="0"/>
  </r>
  <r>
    <x v="407"/>
    <x v="4"/>
    <x v="4"/>
    <n v="144.53"/>
    <n v="1326.19"/>
    <n v="45.11"/>
    <n v="30"/>
    <n v="1.75"/>
    <x v="1"/>
    <n v="2017"/>
    <x v="4"/>
    <s v="Private"/>
    <x v="1"/>
  </r>
  <r>
    <x v="408"/>
    <x v="0"/>
    <x v="3"/>
    <n v="12.71"/>
    <n v="175.23"/>
    <n v="92.95"/>
    <n v="465"/>
    <n v="2.5099999999999998"/>
    <x v="0"/>
    <n v="1998"/>
    <x v="4"/>
    <s v="Private"/>
    <x v="0"/>
  </r>
  <r>
    <x v="409"/>
    <x v="6"/>
    <x v="0"/>
    <n v="49.62"/>
    <n v="614.78"/>
    <n v="16.600000000000001"/>
    <n v="3769"/>
    <n v="2.75"/>
    <x v="0"/>
    <n v="2009"/>
    <x v="2"/>
    <s v="Private"/>
    <x v="0"/>
  </r>
  <r>
    <x v="410"/>
    <x v="4"/>
    <x v="3"/>
    <n v="131.86000000000001"/>
    <n v="756.1"/>
    <n v="39.049999999999997"/>
    <n v="3436"/>
    <n v="3.42"/>
    <x v="0"/>
    <n v="2008"/>
    <x v="4"/>
    <s v="IPO"/>
    <x v="0"/>
  </r>
  <r>
    <x v="411"/>
    <x v="1"/>
    <x v="3"/>
    <n v="217.59"/>
    <n v="3201.16"/>
    <n v="73.010000000000005"/>
    <n v="3488"/>
    <n v="7.52"/>
    <x v="1"/>
    <n v="2001"/>
    <x v="0"/>
    <s v="Private"/>
    <x v="0"/>
  </r>
  <r>
    <x v="412"/>
    <x v="1"/>
    <x v="2"/>
    <n v="178.19"/>
    <n v="1961.55"/>
    <n v="88.24"/>
    <n v="1999"/>
    <n v="5.76"/>
    <x v="1"/>
    <n v="2004"/>
    <x v="2"/>
    <s v="Private"/>
    <x v="0"/>
  </r>
  <r>
    <x v="413"/>
    <x v="5"/>
    <x v="3"/>
    <n v="195.26"/>
    <n v="610.21"/>
    <n v="67.13"/>
    <n v="495"/>
    <n v="9.86"/>
    <x v="0"/>
    <n v="2020"/>
    <x v="4"/>
    <s v="Private"/>
    <x v="1"/>
  </r>
  <r>
    <x v="414"/>
    <x v="7"/>
    <x v="3"/>
    <n v="144.04"/>
    <n v="873.6"/>
    <n v="25.89"/>
    <n v="1077"/>
    <n v="4.21"/>
    <x v="0"/>
    <n v="2003"/>
    <x v="4"/>
    <s v="Private"/>
    <x v="0"/>
  </r>
  <r>
    <x v="415"/>
    <x v="6"/>
    <x v="0"/>
    <n v="184.91"/>
    <n v="1133.23"/>
    <n v="67.489999999999995"/>
    <n v="3178"/>
    <n v="7.56"/>
    <x v="0"/>
    <n v="2000"/>
    <x v="1"/>
    <s v="Acquired"/>
    <x v="0"/>
  </r>
  <r>
    <x v="416"/>
    <x v="5"/>
    <x v="2"/>
    <n v="99.04"/>
    <n v="379.43"/>
    <n v="29.74"/>
    <n v="220"/>
    <n v="8.73"/>
    <x v="0"/>
    <n v="2015"/>
    <x v="4"/>
    <s v="Acquired"/>
    <x v="1"/>
  </r>
  <r>
    <x v="417"/>
    <x v="7"/>
    <x v="1"/>
    <n v="141.32"/>
    <n v="2051.67"/>
    <n v="71.87"/>
    <n v="1728"/>
    <n v="6.82"/>
    <x v="1"/>
    <n v="2016"/>
    <x v="3"/>
    <s v="Private"/>
    <x v="1"/>
  </r>
  <r>
    <x v="418"/>
    <x v="7"/>
    <x v="0"/>
    <n v="223.41"/>
    <n v="1952.39"/>
    <n v="95.41"/>
    <n v="1597"/>
    <n v="4.18"/>
    <x v="1"/>
    <n v="2000"/>
    <x v="2"/>
    <s v="Private"/>
    <x v="0"/>
  </r>
  <r>
    <x v="419"/>
    <x v="2"/>
    <x v="0"/>
    <n v="261.61"/>
    <n v="3597.08"/>
    <n v="72.17"/>
    <n v="2611"/>
    <n v="7.56"/>
    <x v="0"/>
    <n v="2008"/>
    <x v="3"/>
    <s v="Private"/>
    <x v="0"/>
  </r>
  <r>
    <x v="420"/>
    <x v="1"/>
    <x v="1"/>
    <n v="130.38"/>
    <n v="895.27"/>
    <n v="86.3"/>
    <n v="163"/>
    <n v="2.12"/>
    <x v="1"/>
    <n v="1995"/>
    <x v="2"/>
    <s v="Acquired"/>
    <x v="0"/>
  </r>
  <r>
    <x v="421"/>
    <x v="0"/>
    <x v="3"/>
    <n v="13.58"/>
    <n v="61.15"/>
    <n v="0.31"/>
    <n v="4786"/>
    <n v="3.34"/>
    <x v="0"/>
    <n v="2017"/>
    <x v="1"/>
    <s v="Private"/>
    <x v="1"/>
  </r>
  <r>
    <x v="422"/>
    <x v="3"/>
    <x v="4"/>
    <n v="48.92"/>
    <n v="425.21"/>
    <n v="71.790000000000006"/>
    <n v="3318"/>
    <n v="5.51"/>
    <x v="1"/>
    <n v="1990"/>
    <x v="4"/>
    <s v="Private"/>
    <x v="0"/>
  </r>
  <r>
    <x v="423"/>
    <x v="0"/>
    <x v="2"/>
    <n v="6.75"/>
    <n v="29.48"/>
    <n v="82.98"/>
    <n v="2846"/>
    <n v="5.8"/>
    <x v="1"/>
    <n v="1997"/>
    <x v="4"/>
    <s v="Private"/>
    <x v="0"/>
  </r>
  <r>
    <x v="424"/>
    <x v="3"/>
    <x v="4"/>
    <n v="196.15"/>
    <n v="1732.43"/>
    <n v="4.1500000000000004"/>
    <n v="1781"/>
    <n v="0.32"/>
    <x v="0"/>
    <n v="1996"/>
    <x v="4"/>
    <s v="Acquired"/>
    <x v="0"/>
  </r>
  <r>
    <x v="425"/>
    <x v="4"/>
    <x v="1"/>
    <n v="100.03"/>
    <n v="1404.78"/>
    <n v="87.17"/>
    <n v="2057"/>
    <n v="9.4600000000000009"/>
    <x v="1"/>
    <n v="2000"/>
    <x v="2"/>
    <s v="Private"/>
    <x v="0"/>
  </r>
  <r>
    <x v="426"/>
    <x v="1"/>
    <x v="0"/>
    <n v="162.97"/>
    <n v="1507.35"/>
    <n v="25.74"/>
    <n v="2300"/>
    <n v="7"/>
    <x v="0"/>
    <n v="1993"/>
    <x v="4"/>
    <s v="Private"/>
    <x v="0"/>
  </r>
  <r>
    <x v="427"/>
    <x v="7"/>
    <x v="0"/>
    <n v="148.24"/>
    <n v="1541.4"/>
    <n v="66.56"/>
    <n v="1701"/>
    <n v="5.01"/>
    <x v="0"/>
    <n v="2014"/>
    <x v="3"/>
    <s v="Private"/>
    <x v="1"/>
  </r>
  <r>
    <x v="428"/>
    <x v="6"/>
    <x v="2"/>
    <n v="24.92"/>
    <n v="121.6"/>
    <n v="80.06"/>
    <n v="2998"/>
    <n v="9.34"/>
    <x v="0"/>
    <n v="2001"/>
    <x v="4"/>
    <s v="Private"/>
    <x v="0"/>
  </r>
  <r>
    <x v="429"/>
    <x v="3"/>
    <x v="0"/>
    <n v="121.28"/>
    <n v="427.49"/>
    <n v="66.3"/>
    <n v="2474"/>
    <n v="4.45"/>
    <x v="0"/>
    <n v="2015"/>
    <x v="1"/>
    <s v="Private"/>
    <x v="1"/>
  </r>
  <r>
    <x v="430"/>
    <x v="0"/>
    <x v="0"/>
    <n v="66.56"/>
    <n v="288.18"/>
    <n v="9.32"/>
    <n v="1951"/>
    <n v="9.81"/>
    <x v="1"/>
    <n v="2001"/>
    <x v="3"/>
    <s v="Private"/>
    <x v="0"/>
  </r>
  <r>
    <x v="431"/>
    <x v="7"/>
    <x v="2"/>
    <n v="125.81"/>
    <n v="1281.05"/>
    <n v="59.67"/>
    <n v="3814"/>
    <n v="5.17"/>
    <x v="1"/>
    <n v="2013"/>
    <x v="4"/>
    <s v="Private"/>
    <x v="1"/>
  </r>
  <r>
    <x v="432"/>
    <x v="3"/>
    <x v="2"/>
    <n v="61.47"/>
    <n v="254.49"/>
    <n v="55"/>
    <n v="2788"/>
    <n v="1.23"/>
    <x v="1"/>
    <n v="2005"/>
    <x v="4"/>
    <s v="Acquired"/>
    <x v="0"/>
  </r>
  <r>
    <x v="433"/>
    <x v="3"/>
    <x v="1"/>
    <n v="252.22"/>
    <n v="1894.66"/>
    <n v="90.04"/>
    <n v="3649"/>
    <n v="7.67"/>
    <x v="1"/>
    <n v="2002"/>
    <x v="0"/>
    <s v="Private"/>
    <x v="0"/>
  </r>
  <r>
    <x v="434"/>
    <x v="2"/>
    <x v="0"/>
    <n v="52.67"/>
    <n v="505.69"/>
    <n v="40.479999999999997"/>
    <n v="2505"/>
    <n v="6.82"/>
    <x v="1"/>
    <n v="2014"/>
    <x v="2"/>
    <s v="IPO"/>
    <x v="1"/>
  </r>
  <r>
    <x v="435"/>
    <x v="3"/>
    <x v="0"/>
    <n v="288.25"/>
    <n v="2209.1"/>
    <n v="32.18"/>
    <n v="3650"/>
    <n v="7.75"/>
    <x v="0"/>
    <n v="1993"/>
    <x v="3"/>
    <s v="Private"/>
    <x v="0"/>
  </r>
  <r>
    <x v="436"/>
    <x v="6"/>
    <x v="1"/>
    <n v="125.06"/>
    <n v="620.82000000000005"/>
    <n v="75.010000000000005"/>
    <n v="2650"/>
    <n v="9.52"/>
    <x v="0"/>
    <n v="2000"/>
    <x v="0"/>
    <s v="Private"/>
    <x v="0"/>
  </r>
  <r>
    <x v="437"/>
    <x v="1"/>
    <x v="3"/>
    <n v="253.95"/>
    <n v="1596.2"/>
    <n v="41.33"/>
    <n v="2354"/>
    <n v="7.79"/>
    <x v="0"/>
    <n v="2021"/>
    <x v="1"/>
    <s v="Private"/>
    <x v="1"/>
  </r>
  <r>
    <x v="438"/>
    <x v="6"/>
    <x v="3"/>
    <n v="188.82"/>
    <n v="2669.88"/>
    <n v="64.650000000000006"/>
    <n v="1937"/>
    <n v="6.15"/>
    <x v="1"/>
    <n v="1996"/>
    <x v="2"/>
    <s v="Private"/>
    <x v="0"/>
  </r>
  <r>
    <x v="439"/>
    <x v="5"/>
    <x v="3"/>
    <n v="220.74"/>
    <n v="2452.8200000000002"/>
    <n v="64.680000000000007"/>
    <n v="3299"/>
    <n v="8.59"/>
    <x v="1"/>
    <n v="2000"/>
    <x v="3"/>
    <s v="Acquired"/>
    <x v="0"/>
  </r>
  <r>
    <x v="440"/>
    <x v="7"/>
    <x v="1"/>
    <n v="230.43"/>
    <n v="2062.94"/>
    <n v="88.82"/>
    <n v="1762"/>
    <n v="6.77"/>
    <x v="0"/>
    <n v="2017"/>
    <x v="4"/>
    <s v="Private"/>
    <x v="1"/>
  </r>
  <r>
    <x v="441"/>
    <x v="1"/>
    <x v="0"/>
    <n v="151.69999999999999"/>
    <n v="478.25"/>
    <n v="59.91"/>
    <n v="1121"/>
    <n v="4.1399999999999997"/>
    <x v="1"/>
    <n v="2012"/>
    <x v="3"/>
    <s v="Private"/>
    <x v="1"/>
  </r>
  <r>
    <x v="442"/>
    <x v="2"/>
    <x v="1"/>
    <n v="163.22"/>
    <n v="2433.44"/>
    <n v="50.27"/>
    <n v="2572"/>
    <n v="8.8699999999999992"/>
    <x v="1"/>
    <n v="2012"/>
    <x v="4"/>
    <s v="IPO"/>
    <x v="1"/>
  </r>
  <r>
    <x v="443"/>
    <x v="1"/>
    <x v="1"/>
    <n v="154.44"/>
    <n v="1707.71"/>
    <n v="13.97"/>
    <n v="3504"/>
    <n v="2.2999999999999998"/>
    <x v="0"/>
    <n v="2017"/>
    <x v="2"/>
    <s v="Private"/>
    <x v="1"/>
  </r>
  <r>
    <x v="444"/>
    <x v="1"/>
    <x v="3"/>
    <n v="176.62"/>
    <n v="1201.56"/>
    <n v="11.66"/>
    <n v="497"/>
    <n v="7.17"/>
    <x v="0"/>
    <n v="2015"/>
    <x v="4"/>
    <s v="Acquired"/>
    <x v="1"/>
  </r>
  <r>
    <x v="445"/>
    <x v="0"/>
    <x v="4"/>
    <n v="9.3000000000000007"/>
    <n v="126.03"/>
    <n v="15.52"/>
    <n v="3311"/>
    <n v="8.83"/>
    <x v="0"/>
    <n v="2014"/>
    <x v="1"/>
    <s v="Private"/>
    <x v="1"/>
  </r>
  <r>
    <x v="446"/>
    <x v="1"/>
    <x v="0"/>
    <n v="118.96"/>
    <n v="725.8"/>
    <n v="17.27"/>
    <n v="624"/>
    <n v="7.34"/>
    <x v="0"/>
    <n v="2018"/>
    <x v="4"/>
    <s v="Private"/>
    <x v="1"/>
  </r>
  <r>
    <x v="447"/>
    <x v="2"/>
    <x v="3"/>
    <n v="182.05"/>
    <n v="1734.61"/>
    <n v="63.82"/>
    <n v="3237"/>
    <n v="7"/>
    <x v="0"/>
    <n v="2008"/>
    <x v="1"/>
    <s v="Acquired"/>
    <x v="0"/>
  </r>
  <r>
    <x v="448"/>
    <x v="6"/>
    <x v="4"/>
    <n v="179.52"/>
    <n v="1908.81"/>
    <n v="74.12"/>
    <n v="3828"/>
    <n v="7.55"/>
    <x v="0"/>
    <n v="2022"/>
    <x v="2"/>
    <s v="Private"/>
    <x v="1"/>
  </r>
  <r>
    <x v="449"/>
    <x v="1"/>
    <x v="4"/>
    <n v="237.99"/>
    <n v="1345.3"/>
    <n v="53.05"/>
    <n v="2385"/>
    <n v="4.7"/>
    <x v="0"/>
    <n v="2003"/>
    <x v="2"/>
    <s v="IPO"/>
    <x v="0"/>
  </r>
  <r>
    <x v="450"/>
    <x v="4"/>
    <x v="2"/>
    <n v="196.68"/>
    <n v="2899.21"/>
    <n v="82.92"/>
    <n v="1551"/>
    <n v="8.75"/>
    <x v="0"/>
    <n v="2003"/>
    <x v="3"/>
    <s v="Acquired"/>
    <x v="0"/>
  </r>
  <r>
    <x v="451"/>
    <x v="7"/>
    <x v="0"/>
    <n v="297.64"/>
    <n v="3565.22"/>
    <n v="99.13"/>
    <n v="4963"/>
    <n v="2.11"/>
    <x v="1"/>
    <n v="2019"/>
    <x v="1"/>
    <s v="IPO"/>
    <x v="1"/>
  </r>
  <r>
    <x v="452"/>
    <x v="1"/>
    <x v="4"/>
    <n v="85.51"/>
    <n v="828.91"/>
    <n v="82.02"/>
    <n v="3568"/>
    <n v="1.36"/>
    <x v="0"/>
    <n v="2017"/>
    <x v="1"/>
    <s v="Private"/>
    <x v="1"/>
  </r>
  <r>
    <x v="453"/>
    <x v="7"/>
    <x v="3"/>
    <n v="108.07"/>
    <n v="558.41"/>
    <n v="69.52"/>
    <n v="1610"/>
    <n v="2.93"/>
    <x v="1"/>
    <n v="2006"/>
    <x v="0"/>
    <s v="Private"/>
    <x v="0"/>
  </r>
  <r>
    <x v="454"/>
    <x v="4"/>
    <x v="2"/>
    <n v="115.46"/>
    <n v="421"/>
    <n v="53.3"/>
    <n v="3757"/>
    <n v="5.36"/>
    <x v="0"/>
    <n v="1992"/>
    <x v="0"/>
    <s v="Private"/>
    <x v="0"/>
  </r>
  <r>
    <x v="455"/>
    <x v="4"/>
    <x v="0"/>
    <n v="140.01"/>
    <n v="957.77"/>
    <n v="44.94"/>
    <n v="4680"/>
    <n v="5.15"/>
    <x v="0"/>
    <n v="2005"/>
    <x v="0"/>
    <s v="Acquired"/>
    <x v="0"/>
  </r>
  <r>
    <x v="456"/>
    <x v="7"/>
    <x v="1"/>
    <n v="250.88"/>
    <n v="3020.16"/>
    <n v="8.5299999999999994"/>
    <n v="1895"/>
    <n v="8.2200000000000006"/>
    <x v="1"/>
    <n v="2019"/>
    <x v="4"/>
    <s v="Acquired"/>
    <x v="1"/>
  </r>
  <r>
    <x v="457"/>
    <x v="3"/>
    <x v="3"/>
    <n v="71.12"/>
    <n v="443.22"/>
    <n v="40"/>
    <n v="1280"/>
    <n v="4.1100000000000003"/>
    <x v="0"/>
    <n v="2018"/>
    <x v="0"/>
    <s v="Private"/>
    <x v="1"/>
  </r>
  <r>
    <x v="458"/>
    <x v="5"/>
    <x v="4"/>
    <n v="232.91"/>
    <n v="2206.75"/>
    <n v="91.02"/>
    <n v="2748"/>
    <n v="4.9000000000000004"/>
    <x v="0"/>
    <n v="2004"/>
    <x v="1"/>
    <s v="Private"/>
    <x v="0"/>
  </r>
  <r>
    <x v="459"/>
    <x v="0"/>
    <x v="4"/>
    <n v="121.89"/>
    <n v="1430.42"/>
    <n v="80.819999999999993"/>
    <n v="2498"/>
    <n v="0.23"/>
    <x v="1"/>
    <n v="2014"/>
    <x v="4"/>
    <s v="Private"/>
    <x v="1"/>
  </r>
  <r>
    <x v="460"/>
    <x v="3"/>
    <x v="3"/>
    <n v="180.76"/>
    <n v="776.42"/>
    <n v="21.68"/>
    <n v="361"/>
    <n v="4.16"/>
    <x v="0"/>
    <n v="2012"/>
    <x v="2"/>
    <s v="Acquired"/>
    <x v="1"/>
  </r>
  <r>
    <x v="461"/>
    <x v="3"/>
    <x v="4"/>
    <n v="189.95"/>
    <n v="2131.92"/>
    <n v="46.71"/>
    <n v="874"/>
    <n v="6.51"/>
    <x v="0"/>
    <n v="2014"/>
    <x v="3"/>
    <s v="Private"/>
    <x v="1"/>
  </r>
  <r>
    <x v="462"/>
    <x v="6"/>
    <x v="2"/>
    <n v="112.17"/>
    <n v="460.17"/>
    <n v="81.69"/>
    <n v="890"/>
    <n v="0.25"/>
    <x v="0"/>
    <n v="1996"/>
    <x v="0"/>
    <s v="Private"/>
    <x v="0"/>
  </r>
  <r>
    <x v="463"/>
    <x v="0"/>
    <x v="0"/>
    <n v="154.03"/>
    <n v="2246"/>
    <n v="6.83"/>
    <n v="2006"/>
    <n v="2.88"/>
    <x v="0"/>
    <n v="2011"/>
    <x v="2"/>
    <s v="Private"/>
    <x v="1"/>
  </r>
  <r>
    <x v="464"/>
    <x v="0"/>
    <x v="2"/>
    <n v="124.2"/>
    <n v="1100.5"/>
    <n v="38.799999999999997"/>
    <n v="1288"/>
    <n v="2.16"/>
    <x v="0"/>
    <n v="2006"/>
    <x v="1"/>
    <s v="Private"/>
    <x v="0"/>
  </r>
  <r>
    <x v="465"/>
    <x v="3"/>
    <x v="4"/>
    <n v="21.21"/>
    <n v="101.98"/>
    <n v="85.2"/>
    <n v="624"/>
    <n v="0.52"/>
    <x v="0"/>
    <n v="2007"/>
    <x v="3"/>
    <s v="Acquired"/>
    <x v="0"/>
  </r>
  <r>
    <x v="466"/>
    <x v="1"/>
    <x v="1"/>
    <n v="131.43"/>
    <n v="934.28"/>
    <n v="40.450000000000003"/>
    <n v="887"/>
    <n v="4.84"/>
    <x v="1"/>
    <n v="1999"/>
    <x v="2"/>
    <s v="Private"/>
    <x v="0"/>
  </r>
  <r>
    <x v="467"/>
    <x v="6"/>
    <x v="0"/>
    <n v="29.67"/>
    <n v="236.2"/>
    <n v="7.85"/>
    <n v="801"/>
    <n v="1.9"/>
    <x v="1"/>
    <n v="1999"/>
    <x v="3"/>
    <s v="Private"/>
    <x v="0"/>
  </r>
  <r>
    <x v="468"/>
    <x v="6"/>
    <x v="0"/>
    <n v="121.8"/>
    <n v="1473.56"/>
    <n v="54.3"/>
    <n v="3647"/>
    <n v="7.46"/>
    <x v="1"/>
    <n v="1996"/>
    <x v="0"/>
    <s v="Private"/>
    <x v="0"/>
  </r>
  <r>
    <x v="469"/>
    <x v="4"/>
    <x v="3"/>
    <n v="178.08"/>
    <n v="2122.91"/>
    <n v="86.19"/>
    <n v="3430"/>
    <n v="8.49"/>
    <x v="1"/>
    <n v="2016"/>
    <x v="1"/>
    <s v="Private"/>
    <x v="1"/>
  </r>
  <r>
    <x v="470"/>
    <x v="2"/>
    <x v="3"/>
    <n v="174.03"/>
    <n v="1800.04"/>
    <n v="59.07"/>
    <n v="1301"/>
    <n v="5.5"/>
    <x v="1"/>
    <n v="2022"/>
    <x v="3"/>
    <s v="Private"/>
    <x v="1"/>
  </r>
  <r>
    <x v="471"/>
    <x v="0"/>
    <x v="1"/>
    <n v="198.96"/>
    <n v="849.79"/>
    <n v="22.71"/>
    <n v="4719"/>
    <n v="9.82"/>
    <x v="0"/>
    <n v="1990"/>
    <x v="2"/>
    <s v="Private"/>
    <x v="0"/>
  </r>
  <r>
    <x v="472"/>
    <x v="3"/>
    <x v="0"/>
    <n v="29.03"/>
    <n v="139.88999999999999"/>
    <n v="38.49"/>
    <n v="249"/>
    <n v="4.5599999999999996"/>
    <x v="1"/>
    <n v="1993"/>
    <x v="0"/>
    <s v="IPO"/>
    <x v="0"/>
  </r>
  <r>
    <x v="473"/>
    <x v="4"/>
    <x v="1"/>
    <n v="195.81"/>
    <n v="807.73"/>
    <n v="45.07"/>
    <n v="2900"/>
    <n v="5.18"/>
    <x v="1"/>
    <n v="2006"/>
    <x v="0"/>
    <s v="Private"/>
    <x v="0"/>
  </r>
  <r>
    <x v="474"/>
    <x v="7"/>
    <x v="3"/>
    <n v="93.99"/>
    <n v="932.95"/>
    <n v="57.97"/>
    <n v="934"/>
    <n v="9.89"/>
    <x v="1"/>
    <n v="1993"/>
    <x v="2"/>
    <s v="Private"/>
    <x v="0"/>
  </r>
  <r>
    <x v="475"/>
    <x v="5"/>
    <x v="3"/>
    <n v="120.01"/>
    <n v="1623.21"/>
    <n v="75.959999999999994"/>
    <n v="524"/>
    <n v="2.39"/>
    <x v="0"/>
    <n v="2015"/>
    <x v="2"/>
    <s v="Private"/>
    <x v="1"/>
  </r>
  <r>
    <x v="476"/>
    <x v="2"/>
    <x v="0"/>
    <n v="257.47000000000003"/>
    <n v="2112.6999999999998"/>
    <n v="9.98"/>
    <n v="3217"/>
    <n v="9.43"/>
    <x v="0"/>
    <n v="1993"/>
    <x v="3"/>
    <s v="Private"/>
    <x v="0"/>
  </r>
  <r>
    <x v="477"/>
    <x v="2"/>
    <x v="2"/>
    <n v="3.2"/>
    <n v="15.78"/>
    <n v="88.98"/>
    <n v="2414"/>
    <n v="0.52"/>
    <x v="0"/>
    <n v="1990"/>
    <x v="4"/>
    <s v="IPO"/>
    <x v="0"/>
  </r>
  <r>
    <x v="478"/>
    <x v="2"/>
    <x v="4"/>
    <n v="176.73"/>
    <n v="1713.66"/>
    <n v="1.33"/>
    <n v="12"/>
    <n v="4.5199999999999996"/>
    <x v="1"/>
    <n v="1996"/>
    <x v="0"/>
    <s v="Private"/>
    <x v="0"/>
  </r>
  <r>
    <x v="479"/>
    <x v="6"/>
    <x v="3"/>
    <n v="179.81"/>
    <n v="2290.96"/>
    <n v="37.07"/>
    <n v="2530"/>
    <n v="0.79"/>
    <x v="0"/>
    <n v="2019"/>
    <x v="3"/>
    <s v="Private"/>
    <x v="1"/>
  </r>
  <r>
    <x v="480"/>
    <x v="7"/>
    <x v="3"/>
    <n v="119.3"/>
    <n v="1419.73"/>
    <n v="2.84"/>
    <n v="3428"/>
    <n v="7.32"/>
    <x v="1"/>
    <n v="1998"/>
    <x v="2"/>
    <s v="Acquired"/>
    <x v="0"/>
  </r>
  <r>
    <x v="481"/>
    <x v="2"/>
    <x v="2"/>
    <n v="71.489999999999995"/>
    <n v="970.65"/>
    <n v="39.36"/>
    <n v="2024"/>
    <n v="6.12"/>
    <x v="0"/>
    <n v="1997"/>
    <x v="3"/>
    <s v="Private"/>
    <x v="0"/>
  </r>
  <r>
    <x v="482"/>
    <x v="7"/>
    <x v="2"/>
    <n v="70.78"/>
    <n v="448.38"/>
    <n v="52.63"/>
    <n v="4595"/>
    <n v="7.1"/>
    <x v="0"/>
    <n v="2013"/>
    <x v="2"/>
    <s v="IPO"/>
    <x v="1"/>
  </r>
  <r>
    <x v="483"/>
    <x v="1"/>
    <x v="1"/>
    <n v="265.17"/>
    <n v="1412.68"/>
    <n v="51.22"/>
    <n v="4287"/>
    <n v="3.81"/>
    <x v="0"/>
    <n v="2008"/>
    <x v="1"/>
    <s v="Private"/>
    <x v="0"/>
  </r>
  <r>
    <x v="484"/>
    <x v="2"/>
    <x v="1"/>
    <n v="132.88999999999999"/>
    <n v="1801.7"/>
    <n v="16.649999999999999"/>
    <n v="3672"/>
    <n v="3.76"/>
    <x v="0"/>
    <n v="2016"/>
    <x v="2"/>
    <s v="Private"/>
    <x v="1"/>
  </r>
  <r>
    <x v="485"/>
    <x v="5"/>
    <x v="4"/>
    <n v="99.6"/>
    <n v="1084.72"/>
    <n v="64.61"/>
    <n v="3676"/>
    <n v="0.55000000000000004"/>
    <x v="0"/>
    <n v="2021"/>
    <x v="2"/>
    <s v="Private"/>
    <x v="1"/>
  </r>
  <r>
    <x v="486"/>
    <x v="7"/>
    <x v="4"/>
    <n v="134.91"/>
    <n v="908.1"/>
    <n v="4.57"/>
    <n v="2806"/>
    <n v="3.56"/>
    <x v="0"/>
    <n v="2003"/>
    <x v="2"/>
    <s v="Private"/>
    <x v="0"/>
  </r>
  <r>
    <x v="487"/>
    <x v="7"/>
    <x v="0"/>
    <n v="200.98"/>
    <n v="2393.31"/>
    <n v="76.209999999999994"/>
    <n v="90"/>
    <n v="9.3000000000000007"/>
    <x v="1"/>
    <n v="2007"/>
    <x v="4"/>
    <s v="Private"/>
    <x v="0"/>
  </r>
  <r>
    <x v="488"/>
    <x v="5"/>
    <x v="1"/>
    <n v="44.15"/>
    <n v="564.29999999999995"/>
    <n v="94.67"/>
    <n v="3120"/>
    <n v="3.85"/>
    <x v="0"/>
    <n v="2017"/>
    <x v="2"/>
    <s v="Private"/>
    <x v="1"/>
  </r>
  <r>
    <x v="489"/>
    <x v="2"/>
    <x v="3"/>
    <n v="135.11000000000001"/>
    <n v="1402.41"/>
    <n v="34.04"/>
    <n v="4237"/>
    <n v="8.33"/>
    <x v="0"/>
    <n v="2018"/>
    <x v="0"/>
    <s v="Private"/>
    <x v="1"/>
  </r>
  <r>
    <x v="490"/>
    <x v="5"/>
    <x v="1"/>
    <n v="176.57"/>
    <n v="1987.23"/>
    <n v="51.77"/>
    <n v="2473"/>
    <n v="8.44"/>
    <x v="1"/>
    <n v="2005"/>
    <x v="0"/>
    <s v="Private"/>
    <x v="0"/>
  </r>
  <r>
    <x v="491"/>
    <x v="7"/>
    <x v="3"/>
    <n v="284.60000000000002"/>
    <n v="2135.39"/>
    <n v="37.950000000000003"/>
    <n v="3624"/>
    <n v="3.8"/>
    <x v="1"/>
    <n v="2020"/>
    <x v="3"/>
    <s v="Private"/>
    <x v="1"/>
  </r>
  <r>
    <x v="492"/>
    <x v="5"/>
    <x v="2"/>
    <n v="76.13"/>
    <n v="720.52"/>
    <n v="0.77"/>
    <n v="1641"/>
    <n v="6.36"/>
    <x v="1"/>
    <n v="1993"/>
    <x v="4"/>
    <s v="Acquired"/>
    <x v="0"/>
  </r>
  <r>
    <x v="493"/>
    <x v="7"/>
    <x v="1"/>
    <n v="108.1"/>
    <n v="1004.24"/>
    <n v="38.65"/>
    <n v="3588"/>
    <n v="1.04"/>
    <x v="0"/>
    <n v="2006"/>
    <x v="3"/>
    <s v="Private"/>
    <x v="0"/>
  </r>
  <r>
    <x v="494"/>
    <x v="7"/>
    <x v="2"/>
    <n v="114.12"/>
    <n v="1503.71"/>
    <n v="79.19"/>
    <n v="4014"/>
    <n v="1.1299999999999999"/>
    <x v="1"/>
    <n v="2015"/>
    <x v="0"/>
    <s v="IPO"/>
    <x v="1"/>
  </r>
  <r>
    <x v="495"/>
    <x v="1"/>
    <x v="4"/>
    <n v="181.86"/>
    <n v="2378.65"/>
    <n v="59.64"/>
    <n v="3331"/>
    <n v="0.57999999999999996"/>
    <x v="1"/>
    <n v="1993"/>
    <x v="0"/>
    <s v="Private"/>
    <x v="0"/>
  </r>
  <r>
    <x v="496"/>
    <x v="3"/>
    <x v="4"/>
    <n v="107.34"/>
    <n v="1394.58"/>
    <n v="10.220000000000001"/>
    <n v="2223"/>
    <n v="5.85"/>
    <x v="0"/>
    <n v="2019"/>
    <x v="1"/>
    <s v="Private"/>
    <x v="1"/>
  </r>
  <r>
    <x v="497"/>
    <x v="7"/>
    <x v="0"/>
    <n v="160.29"/>
    <n v="502.09"/>
    <n v="84.73"/>
    <n v="2222"/>
    <n v="4.32"/>
    <x v="0"/>
    <n v="2019"/>
    <x v="2"/>
    <s v="Private"/>
    <x v="1"/>
  </r>
  <r>
    <x v="498"/>
    <x v="2"/>
    <x v="1"/>
    <n v="234.65"/>
    <n v="2814.52"/>
    <n v="53.16"/>
    <n v="4972"/>
    <n v="5.53"/>
    <x v="0"/>
    <n v="2011"/>
    <x v="0"/>
    <s v="Private"/>
    <x v="1"/>
  </r>
  <r>
    <x v="499"/>
    <x v="4"/>
    <x v="2"/>
    <n v="211.76"/>
    <n v="2563.17"/>
    <n v="84.19"/>
    <n v="2374"/>
    <n v="5.26"/>
    <x v="0"/>
    <n v="2000"/>
    <x v="3"/>
    <s v="Privat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ED2C3-0C48-4E25-9741-FB17972D8D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4" firstHeaderRow="1" firstDataRow="1" firstDataCol="0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Total Startup " fld="0" subtotal="count" baseField="0" baseItem="0"/>
  </dataFields>
  <formats count="6"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B94214-EB42-4E22-9142-A5B07EA1B33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Industry">
  <location ref="A3:B12" firstHeaderRow="1" firstDataRow="1" firstDataCol="1"/>
  <pivotFields count="13">
    <pivotField dataField="1" showAll="0"/>
    <pivotField axis="axisRow" showAll="0" sortType="descending">
      <items count="9">
        <item x="3"/>
        <item x="6"/>
        <item x="7"/>
        <item x="1"/>
        <item x="5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9">
    <i>
      <x v="3"/>
    </i>
    <i>
      <x v="4"/>
    </i>
    <i>
      <x v="2"/>
    </i>
    <i>
      <x v="5"/>
    </i>
    <i>
      <x/>
    </i>
    <i>
      <x v="7"/>
    </i>
    <i>
      <x v="1"/>
    </i>
    <i>
      <x v="6"/>
    </i>
    <i t="grand">
      <x/>
    </i>
  </rowItems>
  <colItems count="1">
    <i/>
  </colItems>
  <dataFields count="1">
    <dataField name="Total Startups" fld="0" subtotal="count" baseField="0" baseItem="0"/>
  </dataFields>
  <formats count="12"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1" type="button" dataOnly="0" labelOnly="1" outline="0" axis="axisRow" fieldPosition="0"/>
    </format>
    <format dxfId="154">
      <pivotArea dataOnly="0" labelOnly="1" fieldPosition="0">
        <references count="1">
          <reference field="1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C6F59-BE67-4826-8CE1-54877B9E829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4" firstHeaderRow="1" firstDataRow="1" firstDataCol="0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Items count="1">
    <i/>
  </colItems>
  <dataFields count="1">
    <dataField name="Average of Funding Amount (M USD)" fld="3" subtotal="average" baseField="0" baseItem="0" numFmtId="2"/>
  </dataFields>
  <formats count="7">
    <format dxfId="151">
      <pivotArea outline="0" collapsedLevelsAreSubtotals="1" fieldPosition="0"/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01D41-66FC-4AA6-B6FB-A22B0DA861D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Industry">
  <location ref="A3:B12" firstHeaderRow="1" firstDataRow="1" firstDataCol="1"/>
  <pivotFields count="13">
    <pivotField showAll="0"/>
    <pivotField axis="axisRow" showAll="0" sortType="descending">
      <items count="9">
        <item x="3"/>
        <item x="6"/>
        <item x="7"/>
        <item x="1"/>
        <item x="5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9">
    <i>
      <x v="5"/>
    </i>
    <i>
      <x v="2"/>
    </i>
    <i>
      <x v="4"/>
    </i>
    <i>
      <x v="1"/>
    </i>
    <i>
      <x v="3"/>
    </i>
    <i>
      <x/>
    </i>
    <i>
      <x v="6"/>
    </i>
    <i>
      <x v="7"/>
    </i>
    <i t="grand">
      <x/>
    </i>
  </rowItems>
  <colItems count="1">
    <i/>
  </colItems>
  <dataFields count="1">
    <dataField name="Average Funding Amount (M USD)" fld="3" subtotal="average" baseField="0" baseItem="0" numFmtId="2"/>
  </dataFields>
  <formats count="12">
    <format dxfId="144">
      <pivotArea type="all" dataOnly="0" outline="0" fieldPosition="0"/>
    </format>
    <format dxfId="143">
      <pivotArea outline="0" collapsedLevelsAreSubtotals="1" fieldPosition="0"/>
    </format>
    <format dxfId="142">
      <pivotArea field="1" type="button" dataOnly="0" labelOnly="1" outline="0" axis="axisRow" fieldPosition="0"/>
    </format>
    <format dxfId="141">
      <pivotArea dataOnly="0" labelOnly="1" fieldPosition="0">
        <references count="1">
          <reference field="1" count="0"/>
        </references>
      </pivotArea>
    </format>
    <format dxfId="140">
      <pivotArea dataOnly="0" labelOnly="1" grandRow="1" outline="0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1" type="button" dataOnly="0" labelOnly="1" outline="0" axis="axisRow" fieldPosition="0"/>
    </format>
    <format dxfId="135">
      <pivotArea dataOnly="0" labelOnly="1" fieldPosition="0">
        <references count="1">
          <reference field="1" count="0"/>
        </references>
      </pivotArea>
    </format>
    <format dxfId="134">
      <pivotArea dataOnly="0" labelOnly="1" grandRow="1" outline="0" fieldPosition="0"/>
    </format>
    <format dxfId="13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06B95-7580-41C4-9870-0722EC53ADB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Region">
  <location ref="A3:B9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10"/>
  </rowFields>
  <rowItems count="6">
    <i>
      <x v="1"/>
    </i>
    <i>
      <x/>
    </i>
    <i>
      <x v="2"/>
    </i>
    <i>
      <x v="3"/>
    </i>
    <i>
      <x v="4"/>
    </i>
    <i t="grand">
      <x/>
    </i>
  </rowItems>
  <colItems count="1">
    <i/>
  </colItems>
  <dataFields count="1">
    <dataField name="Startup Distribution" fld="0" subtotal="count" showDataAs="percentOfTotal" baseField="10" baseItem="0" numFmtId="10"/>
  </dataFields>
  <formats count="12"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10" type="button" dataOnly="0" labelOnly="1" outline="0" axis="axisRow" fieldPosition="0"/>
    </format>
    <format dxfId="129">
      <pivotArea dataOnly="0" labelOnly="1" fieldPosition="0">
        <references count="1">
          <reference field="10" count="0"/>
        </references>
      </pivotArea>
    </format>
    <format dxfId="128">
      <pivotArea dataOnly="0" labelOnly="1" grandRow="1" outline="0" fieldPosition="0"/>
    </format>
    <format dxfId="127">
      <pivotArea dataOnly="0" labelOnly="1" outline="0" axis="axisValues" fieldPosition="0"/>
    </format>
    <format dxfId="126">
      <pivotArea type="all" dataOnly="0" outline="0" fieldPosition="0"/>
    </format>
    <format dxfId="125">
      <pivotArea outline="0" collapsedLevelsAreSubtotals="1" fieldPosition="0"/>
    </format>
    <format dxfId="124">
      <pivotArea field="10" type="button" dataOnly="0" labelOnly="1" outline="0" axis="axisRow" fieldPosition="0"/>
    </format>
    <format dxfId="123">
      <pivotArea dataOnly="0" labelOnly="1" fieldPosition="0">
        <references count="1">
          <reference field="10" count="0"/>
        </references>
      </pivotArea>
    </format>
    <format dxfId="122">
      <pivotArea dataOnly="0" labelOnly="1" grandRow="1" outline="0" fieldPosition="0"/>
    </format>
    <format dxfId="121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67A01-7A47-4979-B8B7-EFBDB68F1A6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Profitability">
  <location ref="A3:B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Not Profitable" x="0"/>
        <item n="Profitable" x="1"/>
        <item t="default"/>
      </items>
    </pivotField>
    <pivotField showAll="0"/>
    <pivotField showAll="0"/>
    <pivotField showAll="0"/>
    <pivotField dragToRow="0" dragToCol="0" dragToPage="0" showAll="0" defaultSubtota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Total Startup" fld="0" subtotal="count" baseField="0" baseItem="0"/>
  </dataFields>
  <formats count="12">
    <format dxfId="120">
      <pivotArea type="all" dataOnly="0" outline="0" fieldPosition="0"/>
    </format>
    <format dxfId="119">
      <pivotArea outline="0" collapsedLevelsAreSubtotals="1" fieldPosition="0"/>
    </format>
    <format dxfId="118">
      <pivotArea field="8" type="button" dataOnly="0" labelOnly="1" outline="0" axis="axisRow" fieldPosition="0"/>
    </format>
    <format dxfId="117">
      <pivotArea dataOnly="0" labelOnly="1" fieldPosition="0">
        <references count="1">
          <reference field="8" count="0"/>
        </references>
      </pivotArea>
    </format>
    <format dxfId="116">
      <pivotArea dataOnly="0" labelOnly="1" grandRow="1" outline="0" fieldPosition="0"/>
    </format>
    <format dxfId="115">
      <pivotArea dataOnly="0" labelOnly="1" outline="0" axis="axisValues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8" type="button" dataOnly="0" labelOnly="1" outline="0" axis="axisRow" fieldPosition="0"/>
    </format>
    <format dxfId="111">
      <pivotArea dataOnly="0" labelOnly="1" fieldPosition="0">
        <references count="1">
          <reference field="8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66D2D-9F0A-4F23-9779-188B069387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 rowHeaderCaption="Industry">
  <location ref="A3:B12" firstHeaderRow="1" firstDataRow="1" firstDataCol="1"/>
  <pivotFields count="13">
    <pivotField showAll="0"/>
    <pivotField axis="axisRow" showAll="0" sortType="descending">
      <items count="9">
        <item x="3"/>
        <item x="6"/>
        <item x="7"/>
        <item x="1"/>
        <item x="5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9">
    <i>
      <x v="4"/>
    </i>
    <i>
      <x v="2"/>
    </i>
    <i>
      <x v="3"/>
    </i>
    <i>
      <x v="5"/>
    </i>
    <i>
      <x/>
    </i>
    <i>
      <x v="7"/>
    </i>
    <i>
      <x v="1"/>
    </i>
    <i>
      <x v="6"/>
    </i>
    <i t="grand">
      <x/>
    </i>
  </rowItems>
  <colItems count="1">
    <i/>
  </colItems>
  <dataFields count="1">
    <dataField name="Total Funding Amount (M USD)" fld="3" baseField="0" baseItem="0"/>
  </dataFields>
  <formats count="12"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  <format dxfId="102">
      <pivotArea type="all" dataOnly="0" outline="0" fieldPosition="0"/>
    </format>
    <format dxfId="101">
      <pivotArea outline="0" collapsedLevelsAreSubtotals="1" fieldPosition="0"/>
    </format>
    <format dxfId="100">
      <pivotArea field="1" type="button" dataOnly="0" labelOnly="1" outline="0" axis="axisRow" fieldPosition="0"/>
    </format>
    <format dxfId="99">
      <pivotArea dataOnly="0" labelOnly="1" fieldPosition="0">
        <references count="1">
          <reference field="1" count="0"/>
        </references>
      </pivotArea>
    </format>
    <format dxfId="98">
      <pivotArea dataOnly="0" labelOnly="1" grandRow="1" outline="0" fieldPosition="0"/>
    </format>
    <format dxfId="9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A85C2-C39A-45A5-BE19-65BCF2F0A3E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tartup ">
  <location ref="A3:B5" firstHeaderRow="1" firstDataRow="1" firstDataCol="1"/>
  <pivotFields count="13">
    <pivotField axis="axisRow" showAll="0" measureFilter="1" sortType="descending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2">
    <i>
      <x v="317"/>
    </i>
    <i t="grand">
      <x/>
    </i>
  </rowItems>
  <colItems count="1">
    <i/>
  </colItems>
  <dataFields count="1">
    <dataField name="Total Valuation (M USD)" fld="4" baseField="0" baseItem="0"/>
  </dataFields>
  <formats count="12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0" type="button" dataOnly="0" labelOnly="1" outline="0" axis="axisRow" fieldPosition="0"/>
    </format>
    <format dxfId="93">
      <pivotArea dataOnly="0" labelOnly="1" fieldPosition="0">
        <references count="1">
          <reference field="0" count="1">
            <x v="317"/>
          </reference>
        </references>
      </pivotArea>
    </format>
    <format dxfId="92">
      <pivotArea dataOnly="0" labelOnly="1" grandRow="1" outline="0" fieldPosition="0"/>
    </format>
    <format dxfId="91">
      <pivotArea dataOnly="0" labelOnly="1" outline="0" axis="axisValues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0" type="button" dataOnly="0" labelOnly="1" outline="0" axis="axisRow" fieldPosition="0"/>
    </format>
    <format dxfId="87">
      <pivotArea dataOnly="0" labelOnly="1" fieldPosition="0">
        <references count="1">
          <reference field="0" count="1">
            <x v="317"/>
          </reference>
        </references>
      </pivotArea>
    </format>
    <format dxfId="86">
      <pivotArea dataOnly="0" labelOnly="1" grandRow="1" outline="0" fieldPosition="0"/>
    </format>
    <format dxfId="8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F5AF2-0C48-48CF-8F53-FBB579B6414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tartup ">
  <location ref="A3:B5" firstHeaderRow="1" firstDataRow="1" firstDataCol="1"/>
  <pivotFields count="13">
    <pivotField axis="axisRow" showAll="0" measureFilter="1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Total Market Share (%)" fld="7" baseField="0" baseItem="0"/>
  </dataFields>
  <formats count="12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 axis="axisRow" fieldPosition="0"/>
    </format>
    <format dxfId="81">
      <pivotArea dataOnly="0" labelOnly="1" fieldPosition="0">
        <references count="1">
          <reference field="0" count="1">
            <x v="3"/>
          </reference>
        </references>
      </pivotArea>
    </format>
    <format dxfId="80">
      <pivotArea dataOnly="0" labelOnly="1" grandRow="1" outline="0" fieldPosition="0"/>
    </format>
    <format dxfId="79">
      <pivotArea dataOnly="0" labelOnly="1" outline="0" axis="axisValues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0" type="button" dataOnly="0" labelOnly="1" outline="0" axis="axisRow" fieldPosition="0"/>
    </format>
    <format dxfId="75">
      <pivotArea dataOnly="0" labelOnly="1" fieldPosition="0">
        <references count="1">
          <reference field="0" count="1">
            <x v="3"/>
          </reference>
        </references>
      </pivotArea>
    </format>
    <format dxfId="74">
      <pivotArea dataOnly="0" labelOnly="1" grandRow="1" outline="0" fieldPosition="0"/>
    </format>
    <format dxfId="73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6EEB0-88D3-4B91-AEBD-E2D642758C5D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 rowHeaderCaption="Startup">
  <location ref="A3:B9" firstHeaderRow="1" firstDataRow="1" firstDataCol="1"/>
  <pivotFields count="13">
    <pivotField axis="axisRow" showAll="0" measureFilter="1" sortType="descending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3"/>
        <item x="6"/>
        <item x="7"/>
        <item x="1"/>
        <item x="5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6">
    <i>
      <x v="490"/>
    </i>
    <i>
      <x v="183"/>
    </i>
    <i>
      <x v="207"/>
    </i>
    <i>
      <x v="218"/>
    </i>
    <i>
      <x v="421"/>
    </i>
    <i t="grand">
      <x/>
    </i>
  </rowItems>
  <colItems count="1">
    <i/>
  </colItems>
  <dataFields count="1">
    <dataField name=" valuation-to-revenue ratio" fld="12" subtotal="average" baseField="0" baseItem="3" numFmtId="2"/>
  </dataFields>
  <formats count="12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5">
            <x v="183"/>
            <x v="207"/>
            <x v="218"/>
            <x v="421"/>
            <x v="490"/>
          </reference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5">
            <x v="183"/>
            <x v="207"/>
            <x v="218"/>
            <x v="421"/>
            <x v="490"/>
          </reference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2096B-76FF-4726-B88C-CFFB296167C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 rowHeaderCaption="Region">
  <location ref="A3:B9" firstHeaderRow="1" firstDataRow="1" firstDataCol="1"/>
  <pivotFields count="1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ragToRow="0" dragToCol="0" dragToPage="0" showAll="0" defaultSubtotal="0"/>
  </pivotFields>
  <rowFields count="1">
    <field x="10"/>
  </rowFields>
  <rowItems count="6">
    <i>
      <x v="2"/>
    </i>
    <i>
      <x v="3"/>
    </i>
    <i>
      <x/>
    </i>
    <i>
      <x v="1"/>
    </i>
    <i>
      <x v="4"/>
    </i>
    <i t="grand">
      <x/>
    </i>
  </rowItems>
  <colItems count="1">
    <i/>
  </colItems>
  <dataFields count="1">
    <dataField name="Average Revenue (M USD)" fld="5" subtotal="average" baseField="10" baseItem="0" numFmtId="2"/>
  </dataFields>
  <formats count="13">
    <format dxfId="60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0" type="button" dataOnly="0" labelOnly="1" outline="0" axis="axisRow" fieldPosition="0"/>
    </format>
    <format dxfId="56">
      <pivotArea dataOnly="0" labelOnly="1" fieldPosition="0">
        <references count="1">
          <reference field="10" count="0"/>
        </references>
      </pivotArea>
    </format>
    <format dxfId="55">
      <pivotArea dataOnly="0" labelOnly="1" grandRow="1" outline="0" fieldPosition="0"/>
    </format>
    <format dxfId="54">
      <pivotArea dataOnly="0" labelOnly="1" outline="0" axis="axisValues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0" type="button" dataOnly="0" labelOnly="1" outline="0" axis="axisRow" fieldPosition="0"/>
    </format>
    <format dxfId="50">
      <pivotArea dataOnly="0" labelOnly="1" fieldPosition="0">
        <references count="1">
          <reference field="1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15FE3-5513-4A85-AA05-56FCC659146D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ndustry">
  <location ref="A3:B12" firstHeaderRow="1" firstDataRow="1" firstDataCol="1"/>
  <pivotFields count="13">
    <pivotField showAll="0"/>
    <pivotField axis="axisRow" showAll="0">
      <items count="9">
        <item x="3"/>
        <item x="6"/>
        <item x="7"/>
        <item x="1"/>
        <item x="5"/>
        <item x="2"/>
        <item x="4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Funding Rounds" fld="2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79DFE-9489-49D9-B7AE-2F4B68354FAA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ndustry and Region">
  <location ref="A3:B52" firstHeaderRow="1" firstDataRow="1" firstDataCol="1"/>
  <pivotFields count="13">
    <pivotField showAll="0"/>
    <pivotField axis="axisRow" showAll="0">
      <items count="9">
        <item x="3"/>
        <item x="6"/>
        <item x="7"/>
        <item x="1"/>
        <item x="5"/>
        <item x="2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dragToRow="0" dragToCol="0" dragToPage="0" showAll="0" defaultSubtotal="0"/>
  </pivotFields>
  <rowFields count="2">
    <field x="1"/>
    <field x="10"/>
  </rowFields>
  <rowItems count="4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 Year Founded" fld="9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4C492-746C-4187-8163-121A582EED55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37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4">
        <item x="20"/>
        <item x="23"/>
        <item x="24"/>
        <item x="15"/>
        <item x="8"/>
        <item x="2"/>
        <item x="16"/>
        <item x="3"/>
        <item x="25"/>
        <item x="27"/>
        <item x="29"/>
        <item x="30"/>
        <item x="6"/>
        <item x="1"/>
        <item x="4"/>
        <item x="21"/>
        <item x="0"/>
        <item x="14"/>
        <item x="17"/>
        <item x="13"/>
        <item x="32"/>
        <item x="9"/>
        <item x="10"/>
        <item x="19"/>
        <item x="11"/>
        <item x="12"/>
        <item x="5"/>
        <item x="22"/>
        <item x="28"/>
        <item x="26"/>
        <item x="7"/>
        <item x="18"/>
        <item x="31"/>
        <item t="default"/>
      </items>
    </pivotField>
    <pivotField showAll="0"/>
    <pivotField showAll="0"/>
    <pivotField dragToRow="0" dragToCol="0" dragToPage="0" showAll="0" defaultSubtotal="0"/>
  </pivotFields>
  <rowFields count="1">
    <field x="9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Average of Funding Amount (M USD)" fld="3" subtotal="average" baseField="9" baseItem="0" numFmtId="2"/>
  </dataFields>
  <formats count="2">
    <format dxfId="47">
      <pivotArea outline="0" collapsedLevelsAreSubtotals="1" fieldPosition="0"/>
    </format>
    <format dxfId="46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FD404-0EDA-4C24-90A1-093E14D60D0A}" name="PivotTable1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Founded After 2010" colHeaderCaption="Profitability">
  <location ref="A3:D7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n="Not Profitable" x="0"/>
        <item n="Profitable" x="1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2"/>
  </rowFields>
  <rowItems count="3">
    <i>
      <x/>
    </i>
    <i>
      <x v="1"/>
    </i>
    <i t="grand">
      <x/>
    </i>
  </rowItems>
  <colFields count="1">
    <field x="8"/>
  </colFields>
  <colItems count="3">
    <i>
      <x/>
    </i>
    <i>
      <x v="1"/>
    </i>
    <i t="grand">
      <x/>
    </i>
  </colItems>
  <dataFields count="1">
    <dataField name="Startup Distribu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BE73E-48A4-4D71-910A-CD704B9F1CA6}" name="PivotTable1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 rowHeaderCaption="startup">
  <location ref="A3:B9" firstHeaderRow="1" firstDataRow="1" firstDataCol="1"/>
  <pivotFields count="18">
    <pivotField axis="axisRow" showAll="0" measureFilter="1" sortType="descending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6">
    <i>
      <x v="126"/>
    </i>
    <i>
      <x v="458"/>
    </i>
    <i>
      <x v="382"/>
    </i>
    <i>
      <x v="330"/>
    </i>
    <i>
      <x v="317"/>
    </i>
    <i t="grand">
      <x/>
    </i>
  </rowItems>
  <colItems count="1">
    <i/>
  </colItems>
  <dataFields count="1">
    <dataField name="Average Best funding efficiency" fld="13" subtotal="average" baseField="0" baseItem="1" numFmtId="2"/>
  </dataFields>
  <formats count="14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0" type="button" dataOnly="0" labelOnly="1" outline="0" axis="axisRow" fieldPosition="0"/>
    </format>
    <format dxfId="42">
      <pivotArea dataOnly="0" labelOnly="1" fieldPosition="0">
        <references count="1">
          <reference field="0" count="5">
            <x v="126"/>
            <x v="317"/>
            <x v="330"/>
            <x v="382"/>
            <x v="458"/>
          </reference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type="all" dataOnly="0" outline="0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0" type="button" dataOnly="0" labelOnly="1" outline="0" axis="axisRow" fieldPosition="0"/>
    </format>
    <format dxfId="34">
      <pivotArea dataOnly="0" labelOnly="1" fieldPosition="0">
        <references count="1">
          <reference field="0" count="5">
            <x v="126"/>
            <x v="317"/>
            <x v="330"/>
            <x v="382"/>
            <x v="458"/>
          </reference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2B2E3-46B3-475D-B2FA-7C1199E46571}" name="PivotTable1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 rowHeaderCaption="Industry">
  <location ref="A3:B12" firstHeaderRow="1" firstDataRow="1" firstDataCol="1"/>
  <pivotFields count="18">
    <pivotField showAll="0"/>
    <pivotField axis="axisRow" showAll="0" sortType="descending">
      <items count="9">
        <item x="3"/>
        <item x="6"/>
        <item x="7"/>
        <item x="1"/>
        <item x="5"/>
        <item x="2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9">
    <i>
      <x v="2"/>
    </i>
    <i>
      <x v="5"/>
    </i>
    <i>
      <x v="1"/>
    </i>
    <i>
      <x v="4"/>
    </i>
    <i>
      <x v="3"/>
    </i>
    <i>
      <x v="6"/>
    </i>
    <i>
      <x/>
    </i>
    <i>
      <x v="7"/>
    </i>
    <i t="grand">
      <x/>
    </i>
  </rowItems>
  <colItems count="1">
    <i/>
  </colItems>
  <dataFields count="1">
    <dataField name=" Valuation per employee" fld="14" baseField="0" baseItem="0" numFmtId="164"/>
  </dataFields>
  <formats count="13">
    <format dxfId="31">
      <pivotArea outline="0" collapsedLevelsAreSubtotals="1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A34E6-3191-4700-8877-8B5EB8A18200}" name="PivotTable1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G7" firstHeaderRow="1" firstDataRow="2" firstDataCol="1"/>
  <pivotFields count="18">
    <pivotField showAll="0"/>
    <pivotField showAll="0"/>
    <pivotField axis="axisCol" showAll="0">
      <items count="6">
        <item x="0"/>
        <item x="4"/>
        <item x="3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3">
        <item n="Not Profitable" x="0"/>
        <item n="Profitable" x="1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8"/>
  </rowFields>
  <rowItems count="3">
    <i>
      <x/>
    </i>
    <i>
      <x v="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Funding Amount (M USD)" fld="3" subtotal="average" baseField="8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62AB2-C6CA-4D57-99CA-35F1705F7086}" name="PivotTable1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Startup">
  <location ref="A3:B14" firstHeaderRow="1" firstDataRow="1" firstDataCol="1"/>
  <pivotFields count="18">
    <pivotField axis="axisRow" showAll="0" measureFilter="1" sortType="descending">
      <items count="5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0"/>
        <item x="301"/>
        <item x="302"/>
        <item x="303"/>
        <item x="304"/>
        <item x="305"/>
        <item x="306"/>
        <item x="307"/>
        <item x="308"/>
        <item x="30"/>
        <item x="309"/>
        <item x="310"/>
        <item x="311"/>
        <item x="312"/>
        <item x="313"/>
        <item x="314"/>
        <item x="315"/>
        <item x="316"/>
        <item x="317"/>
        <item x="318"/>
        <item x="31"/>
        <item x="319"/>
        <item x="320"/>
        <item x="321"/>
        <item x="322"/>
        <item x="323"/>
        <item x="324"/>
        <item x="325"/>
        <item x="326"/>
        <item x="327"/>
        <item x="328"/>
        <item x="32"/>
        <item x="329"/>
        <item x="330"/>
        <item x="331"/>
        <item x="332"/>
        <item x="333"/>
        <item x="334"/>
        <item x="335"/>
        <item x="336"/>
        <item x="337"/>
        <item x="338"/>
        <item x="33"/>
        <item x="339"/>
        <item x="340"/>
        <item x="341"/>
        <item x="342"/>
        <item x="343"/>
        <item x="344"/>
        <item x="345"/>
        <item x="346"/>
        <item x="347"/>
        <item x="348"/>
        <item x="34"/>
        <item x="349"/>
        <item x="350"/>
        <item x="351"/>
        <item x="352"/>
        <item x="353"/>
        <item x="354"/>
        <item x="355"/>
        <item x="356"/>
        <item x="357"/>
        <item x="358"/>
        <item x="35"/>
        <item x="359"/>
        <item x="360"/>
        <item x="361"/>
        <item x="362"/>
        <item x="363"/>
        <item x="364"/>
        <item x="365"/>
        <item x="366"/>
        <item x="367"/>
        <item x="368"/>
        <item x="36"/>
        <item x="369"/>
        <item x="370"/>
        <item x="371"/>
        <item x="372"/>
        <item x="373"/>
        <item x="374"/>
        <item x="375"/>
        <item x="376"/>
        <item x="377"/>
        <item x="378"/>
        <item x="37"/>
        <item x="379"/>
        <item x="380"/>
        <item x="381"/>
        <item x="382"/>
        <item x="383"/>
        <item x="384"/>
        <item x="385"/>
        <item x="386"/>
        <item x="387"/>
        <item x="388"/>
        <item x="38"/>
        <item x="389"/>
        <item x="390"/>
        <item x="391"/>
        <item x="392"/>
        <item x="393"/>
        <item x="394"/>
        <item x="395"/>
        <item x="396"/>
        <item x="397"/>
        <item x="398"/>
        <item x="3"/>
        <item x="39"/>
        <item x="399"/>
        <item x="400"/>
        <item x="401"/>
        <item x="402"/>
        <item x="403"/>
        <item x="404"/>
        <item x="405"/>
        <item x="406"/>
        <item x="407"/>
        <item x="408"/>
        <item x="40"/>
        <item x="409"/>
        <item x="410"/>
        <item x="411"/>
        <item x="412"/>
        <item x="413"/>
        <item x="414"/>
        <item x="415"/>
        <item x="416"/>
        <item x="417"/>
        <item x="418"/>
        <item x="41"/>
        <item x="419"/>
        <item x="420"/>
        <item x="421"/>
        <item x="422"/>
        <item x="423"/>
        <item x="424"/>
        <item x="425"/>
        <item x="426"/>
        <item x="427"/>
        <item x="428"/>
        <item x="42"/>
        <item x="429"/>
        <item x="430"/>
        <item x="431"/>
        <item x="432"/>
        <item x="433"/>
        <item x="434"/>
        <item x="435"/>
        <item x="436"/>
        <item x="437"/>
        <item x="438"/>
        <item x="43"/>
        <item x="439"/>
        <item x="440"/>
        <item x="441"/>
        <item x="442"/>
        <item x="443"/>
        <item x="444"/>
        <item x="445"/>
        <item x="446"/>
        <item x="447"/>
        <item x="448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1">
    <i>
      <x v="72"/>
    </i>
    <i>
      <x v="343"/>
    </i>
    <i>
      <x v="431"/>
    </i>
    <i>
      <x v="226"/>
    </i>
    <i>
      <x v="358"/>
    </i>
    <i>
      <x v="450"/>
    </i>
    <i>
      <x v="204"/>
    </i>
    <i>
      <x v="338"/>
    </i>
    <i>
      <x v="293"/>
    </i>
    <i>
      <x v="480"/>
    </i>
    <i t="grand">
      <x/>
    </i>
  </rowItems>
  <colItems count="1">
    <i/>
  </colItems>
  <dataFields count="1">
    <dataField name=" Revenue per employee" fld="15" baseField="0" baseItem="0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10">
            <x v="72"/>
            <x v="204"/>
            <x v="226"/>
            <x v="293"/>
            <x v="338"/>
            <x v="343"/>
            <x v="358"/>
            <x v="431"/>
            <x v="450"/>
            <x v="480"/>
          </reference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0" count="10">
            <x v="72"/>
            <x v="204"/>
            <x v="226"/>
            <x v="293"/>
            <x v="338"/>
            <x v="343"/>
            <x v="358"/>
            <x v="431"/>
            <x v="450"/>
            <x v="480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10">
            <x v="72"/>
            <x v="204"/>
            <x v="226"/>
            <x v="293"/>
            <x v="338"/>
            <x v="343"/>
            <x v="358"/>
            <x v="431"/>
            <x v="450"/>
            <x v="480"/>
          </reference>
        </references>
      </pivotArea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B2F93-37A0-4C5F-9CF6-6B7F81727E4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F9" firstHeaderRow="0" firstDataRow="1" firstDataCol="1"/>
  <pivotFields count="18"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dragToRow="0" dragToCol="0" dragToPage="0" showAll="0"/>
    <pivotField dragToRow="0" dragToCol="0" dragToPage="0" showAll="0"/>
    <pivotField dragToRow="0" dragToCol="0" dragToPage="0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Revenue (M USD)" fld="5" subtotal="average" baseField="10" baseItem="0"/>
    <dataField name="Average of Funding Amount (M USD)" fld="3" subtotal="average" baseField="10" baseItem="0"/>
    <dataField name="Average of Valuation (M USD)" fld="4" subtotal="average" baseField="10" baseItem="0"/>
    <dataField name="Average of Funding Efficiency" fld="16" subtotal="average" baseField="10" baseItem="3"/>
    <dataField name="Average of Revenue Efficiency" fld="17" subtotal="average" baseField="1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37ED-9E99-41DA-BF4F-92567A4809D0}">
  <dimension ref="A2:A4"/>
  <sheetViews>
    <sheetView workbookViewId="0">
      <selection activeCell="I15" sqref="I15"/>
    </sheetView>
  </sheetViews>
  <sheetFormatPr defaultRowHeight="14.4" x14ac:dyDescent="0.3"/>
  <cols>
    <col min="1" max="1" width="12.33203125" bestFit="1" customWidth="1"/>
  </cols>
  <sheetData>
    <row r="2" spans="1:1" ht="15" thickBot="1" x14ac:dyDescent="0.35"/>
    <row r="3" spans="1:1" ht="15" thickBot="1" x14ac:dyDescent="0.35">
      <c r="A3" s="17" t="s">
        <v>528</v>
      </c>
    </row>
    <row r="4" spans="1:1" ht="15" thickBot="1" x14ac:dyDescent="0.35">
      <c r="A4" s="1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84A2-E602-4317-A6C0-E4AB2816F917}">
  <dimension ref="A2:B12"/>
  <sheetViews>
    <sheetView workbookViewId="0">
      <selection activeCell="B24" sqref="B24"/>
    </sheetView>
  </sheetViews>
  <sheetFormatPr defaultRowHeight="14.4" x14ac:dyDescent="0.3"/>
  <cols>
    <col min="1" max="1" width="12.44140625" bestFit="1" customWidth="1"/>
    <col min="2" max="2" width="12.6640625" bestFit="1" customWidth="1"/>
  </cols>
  <sheetData>
    <row r="2" spans="1:2" ht="15" thickBot="1" x14ac:dyDescent="0.35"/>
    <row r="3" spans="1:2" ht="15" thickBot="1" x14ac:dyDescent="0.35">
      <c r="A3" s="13" t="s">
        <v>1</v>
      </c>
      <c r="B3" s="17" t="s">
        <v>531</v>
      </c>
    </row>
    <row r="4" spans="1:2" x14ac:dyDescent="0.3">
      <c r="A4" s="14" t="s">
        <v>17</v>
      </c>
      <c r="B4" s="14">
        <v>74</v>
      </c>
    </row>
    <row r="5" spans="1:2" x14ac:dyDescent="0.3">
      <c r="A5" s="15" t="s">
        <v>34</v>
      </c>
      <c r="B5" s="15">
        <v>71</v>
      </c>
    </row>
    <row r="6" spans="1:2" x14ac:dyDescent="0.3">
      <c r="A6" s="15" t="s">
        <v>75</v>
      </c>
      <c r="B6" s="15">
        <v>70</v>
      </c>
    </row>
    <row r="7" spans="1:2" x14ac:dyDescent="0.3">
      <c r="A7" s="15" t="s">
        <v>21</v>
      </c>
      <c r="B7" s="15">
        <v>62</v>
      </c>
    </row>
    <row r="8" spans="1:2" x14ac:dyDescent="0.3">
      <c r="A8" s="15" t="s">
        <v>25</v>
      </c>
      <c r="B8" s="15">
        <v>62</v>
      </c>
    </row>
    <row r="9" spans="1:2" x14ac:dyDescent="0.3">
      <c r="A9" s="15" t="s">
        <v>13</v>
      </c>
      <c r="B9" s="15">
        <v>61</v>
      </c>
    </row>
    <row r="10" spans="1:2" x14ac:dyDescent="0.3">
      <c r="A10" s="15" t="s">
        <v>39</v>
      </c>
      <c r="B10" s="15">
        <v>51</v>
      </c>
    </row>
    <row r="11" spans="1:2" ht="15" thickBot="1" x14ac:dyDescent="0.35">
      <c r="A11" s="16" t="s">
        <v>30</v>
      </c>
      <c r="B11" s="15">
        <v>49</v>
      </c>
    </row>
    <row r="12" spans="1:2" ht="15" thickBot="1" x14ac:dyDescent="0.35">
      <c r="A12" s="17" t="s">
        <v>530</v>
      </c>
      <c r="B12" s="16">
        <v>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6696-0C54-44B7-A506-32D38D1C89D8}">
  <dimension ref="A2:A4"/>
  <sheetViews>
    <sheetView workbookViewId="0">
      <selection activeCell="E12" sqref="E12"/>
    </sheetView>
  </sheetViews>
  <sheetFormatPr defaultRowHeight="14.4" x14ac:dyDescent="0.3"/>
  <cols>
    <col min="1" max="1" width="32.77734375" bestFit="1" customWidth="1"/>
  </cols>
  <sheetData>
    <row r="2" spans="1:1" ht="15" thickBot="1" x14ac:dyDescent="0.35"/>
    <row r="3" spans="1:1" ht="15" thickBot="1" x14ac:dyDescent="0.35">
      <c r="A3" s="17" t="s">
        <v>532</v>
      </c>
    </row>
    <row r="4" spans="1:1" ht="15" thickBot="1" x14ac:dyDescent="0.35">
      <c r="A4" s="22">
        <v>152.65676000000005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4110B-584E-4F98-B910-D3CE003417BD}">
  <dimension ref="A2:B12"/>
  <sheetViews>
    <sheetView workbookViewId="0">
      <selection activeCell="B19" sqref="B19"/>
    </sheetView>
  </sheetViews>
  <sheetFormatPr defaultRowHeight="14.4" x14ac:dyDescent="0.3"/>
  <cols>
    <col min="1" max="1" width="12.44140625" bestFit="1" customWidth="1"/>
    <col min="2" max="2" width="30.5546875" bestFit="1" customWidth="1"/>
  </cols>
  <sheetData>
    <row r="2" spans="1:2" ht="15" thickBot="1" x14ac:dyDescent="0.35"/>
    <row r="3" spans="1:2" ht="15" thickBot="1" x14ac:dyDescent="0.35">
      <c r="A3" s="13" t="s">
        <v>1</v>
      </c>
      <c r="B3" s="17" t="s">
        <v>533</v>
      </c>
    </row>
    <row r="4" spans="1:2" x14ac:dyDescent="0.3">
      <c r="A4" s="14" t="s">
        <v>21</v>
      </c>
      <c r="B4" s="23">
        <v>173.14935483870963</v>
      </c>
    </row>
    <row r="5" spans="1:2" x14ac:dyDescent="0.3">
      <c r="A5" s="15" t="s">
        <v>75</v>
      </c>
      <c r="B5" s="24">
        <v>164.63300000000001</v>
      </c>
    </row>
    <row r="6" spans="1:2" x14ac:dyDescent="0.3">
      <c r="A6" s="15" t="s">
        <v>34</v>
      </c>
      <c r="B6" s="24">
        <v>164.03422535211263</v>
      </c>
    </row>
    <row r="7" spans="1:2" x14ac:dyDescent="0.3">
      <c r="A7" s="15" t="s">
        <v>39</v>
      </c>
      <c r="B7" s="24">
        <v>156.31980392156865</v>
      </c>
    </row>
    <row r="8" spans="1:2" x14ac:dyDescent="0.3">
      <c r="A8" s="15" t="s">
        <v>17</v>
      </c>
      <c r="B8" s="24">
        <v>151.51527027027026</v>
      </c>
    </row>
    <row r="9" spans="1:2" x14ac:dyDescent="0.3">
      <c r="A9" s="15" t="s">
        <v>25</v>
      </c>
      <c r="B9" s="24">
        <v>138.33951612903223</v>
      </c>
    </row>
    <row r="10" spans="1:2" x14ac:dyDescent="0.3">
      <c r="A10" s="15" t="s">
        <v>30</v>
      </c>
      <c r="B10" s="24">
        <v>134.92693877551019</v>
      </c>
    </row>
    <row r="11" spans="1:2" ht="15" thickBot="1" x14ac:dyDescent="0.35">
      <c r="A11" s="16" t="s">
        <v>13</v>
      </c>
      <c r="B11" s="24">
        <v>131.9585245901639</v>
      </c>
    </row>
    <row r="12" spans="1:2" ht="15" thickBot="1" x14ac:dyDescent="0.35">
      <c r="A12" s="17" t="s">
        <v>530</v>
      </c>
      <c r="B12" s="21">
        <v>152.65675999999988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F899-603C-4BC1-A525-AF413C2FFC6B}">
  <dimension ref="A2:B9"/>
  <sheetViews>
    <sheetView workbookViewId="0">
      <selection activeCell="B8" sqref="B8"/>
    </sheetView>
  </sheetViews>
  <sheetFormatPr defaultRowHeight="14.4" x14ac:dyDescent="0.3"/>
  <cols>
    <col min="1" max="1" width="12.88671875" bestFit="1" customWidth="1"/>
    <col min="2" max="2" width="17.6640625" bestFit="1" customWidth="1"/>
  </cols>
  <sheetData>
    <row r="2" spans="1:2" ht="15" thickBot="1" x14ac:dyDescent="0.35"/>
    <row r="3" spans="1:2" ht="15" thickBot="1" x14ac:dyDescent="0.35">
      <c r="A3" s="13" t="s">
        <v>10</v>
      </c>
      <c r="B3" s="17" t="s">
        <v>534</v>
      </c>
    </row>
    <row r="4" spans="1:2" x14ac:dyDescent="0.3">
      <c r="A4" s="14" t="s">
        <v>28</v>
      </c>
      <c r="B4" s="10">
        <v>0.216</v>
      </c>
    </row>
    <row r="5" spans="1:2" x14ac:dyDescent="0.3">
      <c r="A5" s="15" t="s">
        <v>41</v>
      </c>
      <c r="B5" s="11">
        <v>0.20599999999999999</v>
      </c>
    </row>
    <row r="6" spans="1:2" x14ac:dyDescent="0.3">
      <c r="A6" s="15" t="s">
        <v>14</v>
      </c>
      <c r="B6" s="11">
        <v>0.20399999999999999</v>
      </c>
    </row>
    <row r="7" spans="1:2" x14ac:dyDescent="0.3">
      <c r="A7" s="15" t="s">
        <v>32</v>
      </c>
      <c r="B7" s="11">
        <v>0.19400000000000001</v>
      </c>
    </row>
    <row r="8" spans="1:2" ht="15" thickBot="1" x14ac:dyDescent="0.35">
      <c r="A8" s="16" t="s">
        <v>18</v>
      </c>
      <c r="B8" s="11">
        <v>0.18</v>
      </c>
    </row>
    <row r="9" spans="1:2" ht="15" thickBot="1" x14ac:dyDescent="0.35">
      <c r="A9" s="17" t="s">
        <v>530</v>
      </c>
      <c r="B9" s="12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D6CD-3C74-4692-971E-D5CD5D9691CE}">
  <dimension ref="A2:B6"/>
  <sheetViews>
    <sheetView workbookViewId="0">
      <selection activeCell="B12" sqref="B12"/>
    </sheetView>
  </sheetViews>
  <sheetFormatPr defaultRowHeight="14.4" x14ac:dyDescent="0.3"/>
  <cols>
    <col min="1" max="1" width="15.21875" bestFit="1" customWidth="1"/>
    <col min="2" max="2" width="11.88671875" bestFit="1" customWidth="1"/>
  </cols>
  <sheetData>
    <row r="2" spans="1:2" ht="15" thickBot="1" x14ac:dyDescent="0.35"/>
    <row r="3" spans="1:2" ht="15" thickBot="1" x14ac:dyDescent="0.35">
      <c r="A3" s="13" t="s">
        <v>536</v>
      </c>
      <c r="B3" s="17" t="s">
        <v>537</v>
      </c>
    </row>
    <row r="4" spans="1:2" x14ac:dyDescent="0.3">
      <c r="A4" s="14" t="s">
        <v>535</v>
      </c>
      <c r="B4" s="14">
        <v>284</v>
      </c>
    </row>
    <row r="5" spans="1:2" ht="15" thickBot="1" x14ac:dyDescent="0.35">
      <c r="A5" s="16" t="s">
        <v>8</v>
      </c>
      <c r="B5" s="15">
        <v>216</v>
      </c>
    </row>
    <row r="6" spans="1:2" ht="15" thickBot="1" x14ac:dyDescent="0.35">
      <c r="A6" s="17" t="s">
        <v>530</v>
      </c>
      <c r="B6" s="16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6608F-5C5B-4088-844A-6C64ED0FFAF1}">
  <dimension ref="A2:B16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27.77734375" bestFit="1" customWidth="1"/>
  </cols>
  <sheetData>
    <row r="2" spans="1:2" ht="15" thickBot="1" x14ac:dyDescent="0.35"/>
    <row r="3" spans="1:2" ht="15" thickBot="1" x14ac:dyDescent="0.35">
      <c r="A3" s="13" t="s">
        <v>1</v>
      </c>
      <c r="B3" s="17" t="s">
        <v>538</v>
      </c>
    </row>
    <row r="4" spans="1:2" x14ac:dyDescent="0.3">
      <c r="A4" s="14" t="s">
        <v>34</v>
      </c>
      <c r="B4" s="14">
        <v>11646.429999999997</v>
      </c>
    </row>
    <row r="5" spans="1:2" x14ac:dyDescent="0.3">
      <c r="A5" s="15" t="s">
        <v>75</v>
      </c>
      <c r="B5" s="15">
        <v>11524.310000000001</v>
      </c>
    </row>
    <row r="6" spans="1:2" x14ac:dyDescent="0.3">
      <c r="A6" s="15" t="s">
        <v>17</v>
      </c>
      <c r="B6" s="15">
        <v>11212.13</v>
      </c>
    </row>
    <row r="7" spans="1:2" x14ac:dyDescent="0.3">
      <c r="A7" s="15" t="s">
        <v>21</v>
      </c>
      <c r="B7" s="15">
        <v>10735.259999999997</v>
      </c>
    </row>
    <row r="8" spans="1:2" x14ac:dyDescent="0.3">
      <c r="A8" s="15" t="s">
        <v>25</v>
      </c>
      <c r="B8" s="15">
        <v>8577.0499999999993</v>
      </c>
    </row>
    <row r="9" spans="1:2" x14ac:dyDescent="0.3">
      <c r="A9" s="15" t="s">
        <v>13</v>
      </c>
      <c r="B9" s="15">
        <v>8049.4699999999984</v>
      </c>
    </row>
    <row r="10" spans="1:2" x14ac:dyDescent="0.3">
      <c r="A10" s="15" t="s">
        <v>39</v>
      </c>
      <c r="B10" s="15">
        <v>7972.3100000000013</v>
      </c>
    </row>
    <row r="11" spans="1:2" ht="15" thickBot="1" x14ac:dyDescent="0.35">
      <c r="A11" s="16" t="s">
        <v>30</v>
      </c>
      <c r="B11" s="15">
        <v>6611.4199999999992</v>
      </c>
    </row>
    <row r="12" spans="1:2" ht="15" thickBot="1" x14ac:dyDescent="0.35">
      <c r="A12" s="17" t="s">
        <v>530</v>
      </c>
      <c r="B12" s="16">
        <v>76328.37999999999</v>
      </c>
    </row>
    <row r="14" spans="1:2" ht="15" thickBot="1" x14ac:dyDescent="0.35"/>
    <row r="15" spans="1:2" ht="15" thickBot="1" x14ac:dyDescent="0.35">
      <c r="B15" s="20" t="s">
        <v>539</v>
      </c>
    </row>
    <row r="16" spans="1:2" ht="15" thickBot="1" x14ac:dyDescent="0.35">
      <c r="B16" s="16" t="s">
        <v>34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A704-EA92-4554-93AA-0ABF3297C06D}">
  <dimension ref="A2:B5"/>
  <sheetViews>
    <sheetView workbookViewId="0">
      <selection activeCell="E14" sqref="E14"/>
    </sheetView>
  </sheetViews>
  <sheetFormatPr defaultRowHeight="14.4" x14ac:dyDescent="0.3"/>
  <cols>
    <col min="1" max="1" width="12.109375" bestFit="1" customWidth="1"/>
    <col min="2" max="2" width="21.6640625" bestFit="1" customWidth="1"/>
  </cols>
  <sheetData>
    <row r="2" spans="1:2" ht="15" thickBot="1" x14ac:dyDescent="0.35"/>
    <row r="3" spans="1:2" ht="15" thickBot="1" x14ac:dyDescent="0.35">
      <c r="A3" s="13" t="s">
        <v>540</v>
      </c>
      <c r="B3" s="17" t="s">
        <v>541</v>
      </c>
    </row>
    <row r="4" spans="1:2" ht="15" thickBot="1" x14ac:dyDescent="0.35">
      <c r="A4" s="17" t="s">
        <v>412</v>
      </c>
      <c r="B4" s="14">
        <v>4357.49</v>
      </c>
    </row>
    <row r="5" spans="1:2" ht="15" thickBot="1" x14ac:dyDescent="0.35">
      <c r="A5" s="17" t="s">
        <v>530</v>
      </c>
      <c r="B5" s="16">
        <v>4357.49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3058-3CCC-48FB-8337-2624636BD706}">
  <dimension ref="A2:B5"/>
  <sheetViews>
    <sheetView workbookViewId="0">
      <selection activeCell="C9" sqref="C9"/>
    </sheetView>
  </sheetViews>
  <sheetFormatPr defaultRowHeight="14.4" x14ac:dyDescent="0.3"/>
  <cols>
    <col min="1" max="1" width="12.109375" bestFit="1" customWidth="1"/>
    <col min="2" max="2" width="20.44140625" bestFit="1" customWidth="1"/>
  </cols>
  <sheetData>
    <row r="2" spans="1:2" ht="15" thickBot="1" x14ac:dyDescent="0.35"/>
    <row r="3" spans="1:2" ht="15" thickBot="1" x14ac:dyDescent="0.35">
      <c r="A3" s="13" t="s">
        <v>540</v>
      </c>
      <c r="B3" s="17" t="s">
        <v>542</v>
      </c>
    </row>
    <row r="4" spans="1:2" ht="15" thickBot="1" x14ac:dyDescent="0.35">
      <c r="A4" s="17" t="s">
        <v>128</v>
      </c>
      <c r="B4" s="14">
        <v>10</v>
      </c>
    </row>
    <row r="5" spans="1:2" ht="15" thickBot="1" x14ac:dyDescent="0.35">
      <c r="A5" s="17" t="s">
        <v>530</v>
      </c>
      <c r="B5" s="16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4C9D-B13F-4291-8DCC-23FA948793C9}">
  <dimension ref="A2:B9"/>
  <sheetViews>
    <sheetView workbookViewId="0">
      <selection activeCell="B19" sqref="B19"/>
    </sheetView>
  </sheetViews>
  <sheetFormatPr defaultRowHeight="14.4" x14ac:dyDescent="0.3"/>
  <cols>
    <col min="1" max="1" width="15.21875" customWidth="1"/>
    <col min="2" max="2" width="24" bestFit="1" customWidth="1"/>
  </cols>
  <sheetData>
    <row r="2" spans="1:2" ht="15" thickBot="1" x14ac:dyDescent="0.35"/>
    <row r="3" spans="1:2" x14ac:dyDescent="0.3">
      <c r="A3" s="3" t="s">
        <v>543</v>
      </c>
      <c r="B3" s="4" t="s">
        <v>544</v>
      </c>
    </row>
    <row r="4" spans="1:2" x14ac:dyDescent="0.3">
      <c r="A4" s="5" t="s">
        <v>117</v>
      </c>
      <c r="B4" s="8">
        <v>2427.8958333333335</v>
      </c>
    </row>
    <row r="5" spans="1:2" x14ac:dyDescent="0.3">
      <c r="A5" s="5" t="s">
        <v>291</v>
      </c>
      <c r="B5" s="8">
        <v>2270.791666666667</v>
      </c>
    </row>
    <row r="6" spans="1:2" x14ac:dyDescent="0.3">
      <c r="A6" s="5" t="s">
        <v>313</v>
      </c>
      <c r="B6" s="8">
        <v>1919.25</v>
      </c>
    </row>
    <row r="7" spans="1:2" x14ac:dyDescent="0.3">
      <c r="A7" s="5" t="s">
        <v>323</v>
      </c>
      <c r="B7" s="8">
        <v>1847.4157894736843</v>
      </c>
    </row>
    <row r="8" spans="1:2" x14ac:dyDescent="0.3">
      <c r="A8" s="5" t="s">
        <v>506</v>
      </c>
      <c r="B8" s="8">
        <v>1288.4661654135339</v>
      </c>
    </row>
    <row r="9" spans="1:2" ht="15" thickBot="1" x14ac:dyDescent="0.35">
      <c r="A9" s="6" t="s">
        <v>530</v>
      </c>
      <c r="B9" s="9">
        <v>1905.1631878557876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7467-51CE-48EC-8B68-01C02D3237F4}">
  <dimension ref="A2:B9"/>
  <sheetViews>
    <sheetView workbookViewId="0">
      <selection activeCell="B14" sqref="B14"/>
    </sheetView>
  </sheetViews>
  <sheetFormatPr defaultRowHeight="14.4" x14ac:dyDescent="0.3"/>
  <cols>
    <col min="1" max="1" width="13.77734375" customWidth="1"/>
    <col min="2" max="2" width="25.88671875" bestFit="1" customWidth="1"/>
  </cols>
  <sheetData>
    <row r="2" spans="1:2" ht="15" thickBot="1" x14ac:dyDescent="0.35"/>
    <row r="3" spans="1:2" x14ac:dyDescent="0.3">
      <c r="A3" s="3" t="s">
        <v>10</v>
      </c>
      <c r="B3" s="4" t="s">
        <v>545</v>
      </c>
    </row>
    <row r="4" spans="1:2" x14ac:dyDescent="0.3">
      <c r="A4" s="5" t="s">
        <v>14</v>
      </c>
      <c r="B4" s="8">
        <v>53.592450980392179</v>
      </c>
    </row>
    <row r="5" spans="1:2" x14ac:dyDescent="0.3">
      <c r="A5" s="5" t="s">
        <v>32</v>
      </c>
      <c r="B5" s="8">
        <v>51.86278350515461</v>
      </c>
    </row>
    <row r="6" spans="1:2" x14ac:dyDescent="0.3">
      <c r="A6" s="5" t="s">
        <v>41</v>
      </c>
      <c r="B6" s="8">
        <v>48.278155339805821</v>
      </c>
    </row>
    <row r="7" spans="1:2" x14ac:dyDescent="0.3">
      <c r="A7" s="5" t="s">
        <v>28</v>
      </c>
      <c r="B7" s="8">
        <v>47.116018518518509</v>
      </c>
    </row>
    <row r="8" spans="1:2" x14ac:dyDescent="0.3">
      <c r="A8" s="5" t="s">
        <v>18</v>
      </c>
      <c r="B8" s="8">
        <v>45.58411111111112</v>
      </c>
    </row>
    <row r="9" spans="1:2" ht="15" thickBot="1" x14ac:dyDescent="0.35">
      <c r="A9" s="6" t="s">
        <v>530</v>
      </c>
      <c r="B9" s="9">
        <v>49.32173999999997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B0B2-A85B-4748-8684-9EC0C2933A0A}">
  <dimension ref="A3:B12"/>
  <sheetViews>
    <sheetView workbookViewId="0">
      <selection activeCell="E12" sqref="E12"/>
    </sheetView>
  </sheetViews>
  <sheetFormatPr defaultRowHeight="14.4" x14ac:dyDescent="0.3"/>
  <cols>
    <col min="1" max="1" width="16.33203125" customWidth="1"/>
    <col min="2" max="2" width="24.44140625" bestFit="1" customWidth="1"/>
  </cols>
  <sheetData>
    <row r="3" spans="1:2" x14ac:dyDescent="0.3">
      <c r="A3" s="1" t="s">
        <v>1</v>
      </c>
      <c r="B3" t="s">
        <v>546</v>
      </c>
    </row>
    <row r="4" spans="1:2" x14ac:dyDescent="0.3">
      <c r="A4" s="2" t="s">
        <v>25</v>
      </c>
      <c r="B4" s="25">
        <v>3.096774193548387</v>
      </c>
    </row>
    <row r="5" spans="1:2" x14ac:dyDescent="0.3">
      <c r="A5" s="2" t="s">
        <v>39</v>
      </c>
      <c r="B5" s="25">
        <v>2.5882352941176472</v>
      </c>
    </row>
    <row r="6" spans="1:2" x14ac:dyDescent="0.3">
      <c r="A6" s="2" t="s">
        <v>75</v>
      </c>
      <c r="B6" s="25">
        <v>2.8714285714285714</v>
      </c>
    </row>
    <row r="7" spans="1:2" x14ac:dyDescent="0.3">
      <c r="A7" s="2" t="s">
        <v>17</v>
      </c>
      <c r="B7" s="25">
        <v>3.0675675675675675</v>
      </c>
    </row>
    <row r="8" spans="1:2" x14ac:dyDescent="0.3">
      <c r="A8" s="2" t="s">
        <v>34</v>
      </c>
      <c r="B8" s="25">
        <v>2.7464788732394365</v>
      </c>
    </row>
    <row r="9" spans="1:2" x14ac:dyDescent="0.3">
      <c r="A9" s="2" t="s">
        <v>21</v>
      </c>
      <c r="B9" s="25">
        <v>3.1451612903225805</v>
      </c>
    </row>
    <row r="10" spans="1:2" x14ac:dyDescent="0.3">
      <c r="A10" s="2" t="s">
        <v>30</v>
      </c>
      <c r="B10" s="25">
        <v>3.2653061224489797</v>
      </c>
    </row>
    <row r="11" spans="1:2" x14ac:dyDescent="0.3">
      <c r="A11" s="2" t="s">
        <v>13</v>
      </c>
      <c r="B11" s="25">
        <v>2.901639344262295</v>
      </c>
    </row>
    <row r="12" spans="1:2" x14ac:dyDescent="0.3">
      <c r="A12" s="2" t="s">
        <v>530</v>
      </c>
      <c r="B12" s="25">
        <v>2.9580000000000002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EF05-8A33-40D1-BD2B-DE01CF26A210}">
  <dimension ref="A3:B52"/>
  <sheetViews>
    <sheetView workbookViewId="0">
      <selection activeCell="C19" sqref="C19"/>
    </sheetView>
  </sheetViews>
  <sheetFormatPr defaultRowHeight="14.4" x14ac:dyDescent="0.3"/>
  <cols>
    <col min="1" max="1" width="18.88671875" customWidth="1"/>
    <col min="2" max="2" width="25.5546875" customWidth="1"/>
  </cols>
  <sheetData>
    <row r="3" spans="1:2" x14ac:dyDescent="0.3">
      <c r="A3" s="1" t="s">
        <v>548</v>
      </c>
      <c r="B3" t="s">
        <v>547</v>
      </c>
    </row>
    <row r="4" spans="1:2" x14ac:dyDescent="0.3">
      <c r="A4" s="2" t="s">
        <v>25</v>
      </c>
      <c r="B4" s="25">
        <v>2006.9677419354839</v>
      </c>
    </row>
    <row r="5" spans="1:2" x14ac:dyDescent="0.3">
      <c r="A5" s="26" t="s">
        <v>41</v>
      </c>
      <c r="B5" s="25">
        <v>2002.2222222222222</v>
      </c>
    </row>
    <row r="6" spans="1:2" x14ac:dyDescent="0.3">
      <c r="A6" s="26" t="s">
        <v>28</v>
      </c>
      <c r="B6" s="25">
        <v>2008.4545454545455</v>
      </c>
    </row>
    <row r="7" spans="1:2" x14ac:dyDescent="0.3">
      <c r="A7" s="26" t="s">
        <v>14</v>
      </c>
      <c r="B7" s="25">
        <v>2007.6842105263158</v>
      </c>
    </row>
    <row r="8" spans="1:2" x14ac:dyDescent="0.3">
      <c r="A8" s="26" t="s">
        <v>32</v>
      </c>
      <c r="B8" s="25">
        <v>2005</v>
      </c>
    </row>
    <row r="9" spans="1:2" x14ac:dyDescent="0.3">
      <c r="A9" s="26" t="s">
        <v>18</v>
      </c>
      <c r="B9" s="25">
        <v>2009.8333333333333</v>
      </c>
    </row>
    <row r="10" spans="1:2" x14ac:dyDescent="0.3">
      <c r="A10" s="2" t="s">
        <v>39</v>
      </c>
      <c r="B10" s="25">
        <v>2003.9411764705883</v>
      </c>
    </row>
    <row r="11" spans="1:2" x14ac:dyDescent="0.3">
      <c r="A11" s="26" t="s">
        <v>41</v>
      </c>
      <c r="B11" s="25">
        <v>2003.5833333333333</v>
      </c>
    </row>
    <row r="12" spans="1:2" x14ac:dyDescent="0.3">
      <c r="A12" s="26" t="s">
        <v>28</v>
      </c>
      <c r="B12" s="25">
        <v>2005.0769230769231</v>
      </c>
    </row>
    <row r="13" spans="1:2" x14ac:dyDescent="0.3">
      <c r="A13" s="26" t="s">
        <v>14</v>
      </c>
      <c r="B13" s="25">
        <v>2003.1111111111111</v>
      </c>
    </row>
    <row r="14" spans="1:2" x14ac:dyDescent="0.3">
      <c r="A14" s="26" t="s">
        <v>32</v>
      </c>
      <c r="B14" s="25">
        <v>2004.4444444444443</v>
      </c>
    </row>
    <row r="15" spans="1:2" x14ac:dyDescent="0.3">
      <c r="A15" s="26" t="s">
        <v>18</v>
      </c>
      <c r="B15" s="25">
        <v>2003</v>
      </c>
    </row>
    <row r="16" spans="1:2" x14ac:dyDescent="0.3">
      <c r="A16" s="2" t="s">
        <v>75</v>
      </c>
      <c r="B16" s="25">
        <v>2007.0714285714287</v>
      </c>
    </row>
    <row r="17" spans="1:2" x14ac:dyDescent="0.3">
      <c r="A17" s="26" t="s">
        <v>41</v>
      </c>
      <c r="B17" s="25">
        <v>2009.0555555555557</v>
      </c>
    </row>
    <row r="18" spans="1:2" x14ac:dyDescent="0.3">
      <c r="A18" s="26" t="s">
        <v>28</v>
      </c>
      <c r="B18" s="25">
        <v>2006.1052631578948</v>
      </c>
    </row>
    <row r="19" spans="1:2" x14ac:dyDescent="0.3">
      <c r="A19" s="26" t="s">
        <v>14</v>
      </c>
      <c r="B19" s="25">
        <v>2003.6363636363637</v>
      </c>
    </row>
    <row r="20" spans="1:2" x14ac:dyDescent="0.3">
      <c r="A20" s="26" t="s">
        <v>32</v>
      </c>
      <c r="B20" s="25">
        <v>2011.6</v>
      </c>
    </row>
    <row r="21" spans="1:2" x14ac:dyDescent="0.3">
      <c r="A21" s="26" t="s">
        <v>18</v>
      </c>
      <c r="B21" s="25">
        <v>2005</v>
      </c>
    </row>
    <row r="22" spans="1:2" x14ac:dyDescent="0.3">
      <c r="A22" s="2" t="s">
        <v>17</v>
      </c>
      <c r="B22" s="25">
        <v>2007.081081081081</v>
      </c>
    </row>
    <row r="23" spans="1:2" x14ac:dyDescent="0.3">
      <c r="A23" s="26" t="s">
        <v>41</v>
      </c>
      <c r="B23" s="25">
        <v>2010.5294117647059</v>
      </c>
    </row>
    <row r="24" spans="1:2" x14ac:dyDescent="0.3">
      <c r="A24" s="26" t="s">
        <v>28</v>
      </c>
      <c r="B24" s="25">
        <v>2004.6</v>
      </c>
    </row>
    <row r="25" spans="1:2" x14ac:dyDescent="0.3">
      <c r="A25" s="26" t="s">
        <v>14</v>
      </c>
      <c r="B25" s="25">
        <v>2004.8461538461538</v>
      </c>
    </row>
    <row r="26" spans="1:2" x14ac:dyDescent="0.3">
      <c r="A26" s="26" t="s">
        <v>32</v>
      </c>
      <c r="B26" s="25">
        <v>2006.0769230769231</v>
      </c>
    </row>
    <row r="27" spans="1:2" x14ac:dyDescent="0.3">
      <c r="A27" s="26" t="s">
        <v>18</v>
      </c>
      <c r="B27" s="25">
        <v>2008.375</v>
      </c>
    </row>
    <row r="28" spans="1:2" x14ac:dyDescent="0.3">
      <c r="A28" s="2" t="s">
        <v>34</v>
      </c>
      <c r="B28" s="25">
        <v>2004.6478873239437</v>
      </c>
    </row>
    <row r="29" spans="1:2" x14ac:dyDescent="0.3">
      <c r="A29" s="26" t="s">
        <v>41</v>
      </c>
      <c r="B29" s="25">
        <v>2005.3</v>
      </c>
    </row>
    <row r="30" spans="1:2" x14ac:dyDescent="0.3">
      <c r="A30" s="26" t="s">
        <v>28</v>
      </c>
      <c r="B30" s="25">
        <v>2008.1538461538462</v>
      </c>
    </row>
    <row r="31" spans="1:2" x14ac:dyDescent="0.3">
      <c r="A31" s="26" t="s">
        <v>14</v>
      </c>
      <c r="B31" s="25">
        <v>2000.4166666666667</v>
      </c>
    </row>
    <row r="32" spans="1:2" x14ac:dyDescent="0.3">
      <c r="A32" s="26" t="s">
        <v>32</v>
      </c>
      <c r="B32" s="25">
        <v>2006.0769230769231</v>
      </c>
    </row>
    <row r="33" spans="1:2" x14ac:dyDescent="0.3">
      <c r="A33" s="26" t="s">
        <v>18</v>
      </c>
      <c r="B33" s="25">
        <v>2002.6153846153845</v>
      </c>
    </row>
    <row r="34" spans="1:2" x14ac:dyDescent="0.3">
      <c r="A34" s="2" t="s">
        <v>21</v>
      </c>
      <c r="B34" s="25">
        <v>2007.0322580645161</v>
      </c>
    </row>
    <row r="35" spans="1:2" x14ac:dyDescent="0.3">
      <c r="A35" s="26" t="s">
        <v>41</v>
      </c>
      <c r="B35" s="25">
        <v>2008.6363636363637</v>
      </c>
    </row>
    <row r="36" spans="1:2" x14ac:dyDescent="0.3">
      <c r="A36" s="26" t="s">
        <v>28</v>
      </c>
      <c r="B36" s="25">
        <v>2007</v>
      </c>
    </row>
    <row r="37" spans="1:2" x14ac:dyDescent="0.3">
      <c r="A37" s="26" t="s">
        <v>14</v>
      </c>
      <c r="B37" s="25">
        <v>2009.9</v>
      </c>
    </row>
    <row r="38" spans="1:2" x14ac:dyDescent="0.3">
      <c r="A38" s="26" t="s">
        <v>32</v>
      </c>
      <c r="B38" s="25">
        <v>2005.7</v>
      </c>
    </row>
    <row r="39" spans="1:2" x14ac:dyDescent="0.3">
      <c r="A39" s="26" t="s">
        <v>18</v>
      </c>
      <c r="B39" s="25">
        <v>2004.8888888888889</v>
      </c>
    </row>
    <row r="40" spans="1:2" x14ac:dyDescent="0.3">
      <c r="A40" s="2" t="s">
        <v>30</v>
      </c>
      <c r="B40" s="25">
        <v>2005.0816326530612</v>
      </c>
    </row>
    <row r="41" spans="1:2" x14ac:dyDescent="0.3">
      <c r="A41" s="26" t="s">
        <v>41</v>
      </c>
      <c r="B41" s="25">
        <v>2007.75</v>
      </c>
    </row>
    <row r="42" spans="1:2" x14ac:dyDescent="0.3">
      <c r="A42" s="26" t="s">
        <v>28</v>
      </c>
      <c r="B42" s="25">
        <v>2003.0769230769231</v>
      </c>
    </row>
    <row r="43" spans="1:2" x14ac:dyDescent="0.3">
      <c r="A43" s="26" t="s">
        <v>14</v>
      </c>
      <c r="B43" s="25">
        <v>2002.8461538461538</v>
      </c>
    </row>
    <row r="44" spans="1:2" x14ac:dyDescent="0.3">
      <c r="A44" s="26" t="s">
        <v>32</v>
      </c>
      <c r="B44" s="25">
        <v>2002.9</v>
      </c>
    </row>
    <row r="45" spans="1:2" x14ac:dyDescent="0.3">
      <c r="A45" s="26" t="s">
        <v>18</v>
      </c>
      <c r="B45" s="25">
        <v>2016.2</v>
      </c>
    </row>
    <row r="46" spans="1:2" x14ac:dyDescent="0.3">
      <c r="A46" s="2" t="s">
        <v>13</v>
      </c>
      <c r="B46" s="25">
        <v>2005.8196721311476</v>
      </c>
    </row>
    <row r="47" spans="1:2" x14ac:dyDescent="0.3">
      <c r="A47" s="26" t="s">
        <v>41</v>
      </c>
      <c r="B47" s="25">
        <v>2010.375</v>
      </c>
    </row>
    <row r="48" spans="1:2" x14ac:dyDescent="0.3">
      <c r="A48" s="26" t="s">
        <v>28</v>
      </c>
      <c r="B48" s="25">
        <v>2005.6666666666667</v>
      </c>
    </row>
    <row r="49" spans="1:2" x14ac:dyDescent="0.3">
      <c r="A49" s="26" t="s">
        <v>14</v>
      </c>
      <c r="B49" s="25">
        <v>2003.8666666666666</v>
      </c>
    </row>
    <row r="50" spans="1:2" x14ac:dyDescent="0.3">
      <c r="A50" s="26" t="s">
        <v>32</v>
      </c>
      <c r="B50" s="25">
        <v>2004.2727272727273</v>
      </c>
    </row>
    <row r="51" spans="1:2" x14ac:dyDescent="0.3">
      <c r="A51" s="26" t="s">
        <v>18</v>
      </c>
      <c r="B51" s="25">
        <v>2006.6</v>
      </c>
    </row>
    <row r="52" spans="1:2" x14ac:dyDescent="0.3">
      <c r="A52" s="2" t="s">
        <v>530</v>
      </c>
      <c r="B52" s="25">
        <v>2006.0440000000001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3EAC-49EB-44EB-9C5E-37793B5E94DC}">
  <dimension ref="A3:B37"/>
  <sheetViews>
    <sheetView topLeftCell="C1" workbookViewId="0">
      <selection activeCell="B11" sqref="B11"/>
    </sheetView>
  </sheetViews>
  <sheetFormatPr defaultRowHeight="14.4" x14ac:dyDescent="0.3"/>
  <cols>
    <col min="1" max="1" width="12.5546875" bestFit="1" customWidth="1"/>
    <col min="2" max="2" width="32.77734375" style="7" bestFit="1" customWidth="1"/>
  </cols>
  <sheetData>
    <row r="3" spans="1:2" x14ac:dyDescent="0.3">
      <c r="A3" s="1" t="s">
        <v>529</v>
      </c>
      <c r="B3" s="7" t="s">
        <v>532</v>
      </c>
    </row>
    <row r="4" spans="1:2" x14ac:dyDescent="0.3">
      <c r="A4" s="2">
        <v>1990</v>
      </c>
      <c r="B4" s="7">
        <v>171.31818181818184</v>
      </c>
    </row>
    <row r="5" spans="1:2" x14ac:dyDescent="0.3">
      <c r="A5" s="2">
        <v>1991</v>
      </c>
      <c r="B5" s="7">
        <v>149.10999999999999</v>
      </c>
    </row>
    <row r="6" spans="1:2" x14ac:dyDescent="0.3">
      <c r="A6" s="2">
        <v>1992</v>
      </c>
      <c r="B6" s="7">
        <v>150.203</v>
      </c>
    </row>
    <row r="7" spans="1:2" x14ac:dyDescent="0.3">
      <c r="A7" s="2">
        <v>1993</v>
      </c>
      <c r="B7" s="7">
        <v>160.76571428571427</v>
      </c>
    </row>
    <row r="8" spans="1:2" x14ac:dyDescent="0.3">
      <c r="A8" s="2">
        <v>1994</v>
      </c>
      <c r="B8" s="7">
        <v>129.51285714285714</v>
      </c>
    </row>
    <row r="9" spans="1:2" x14ac:dyDescent="0.3">
      <c r="A9" s="2">
        <v>1995</v>
      </c>
      <c r="B9" s="7">
        <v>170.58529411764707</v>
      </c>
    </row>
    <row r="10" spans="1:2" x14ac:dyDescent="0.3">
      <c r="A10" s="2">
        <v>1996</v>
      </c>
      <c r="B10" s="7">
        <v>127.55600000000001</v>
      </c>
    </row>
    <row r="11" spans="1:2" x14ac:dyDescent="0.3">
      <c r="A11" s="2">
        <v>1997</v>
      </c>
      <c r="B11" s="7">
        <v>113.66363636363636</v>
      </c>
    </row>
    <row r="12" spans="1:2" x14ac:dyDescent="0.3">
      <c r="A12" s="2">
        <v>1998</v>
      </c>
      <c r="B12" s="7">
        <v>170.85846153846154</v>
      </c>
    </row>
    <row r="13" spans="1:2" x14ac:dyDescent="0.3">
      <c r="A13" s="2">
        <v>1999</v>
      </c>
      <c r="B13" s="7">
        <v>157.38916666666665</v>
      </c>
    </row>
    <row r="14" spans="1:2" x14ac:dyDescent="0.3">
      <c r="A14" s="2">
        <v>2000</v>
      </c>
      <c r="B14" s="7">
        <v>166.96055555555554</v>
      </c>
    </row>
    <row r="15" spans="1:2" x14ac:dyDescent="0.3">
      <c r="A15" s="2">
        <v>2001</v>
      </c>
      <c r="B15" s="7">
        <v>135.38499999999999</v>
      </c>
    </row>
    <row r="16" spans="1:2" x14ac:dyDescent="0.3">
      <c r="A16" s="2">
        <v>2002</v>
      </c>
      <c r="B16" s="7">
        <v>175.07066666666665</v>
      </c>
    </row>
    <row r="17" spans="1:2" x14ac:dyDescent="0.3">
      <c r="A17" s="2">
        <v>2003</v>
      </c>
      <c r="B17" s="7">
        <v>160.81047619047618</v>
      </c>
    </row>
    <row r="18" spans="1:2" x14ac:dyDescent="0.3">
      <c r="A18" s="2">
        <v>2004</v>
      </c>
      <c r="B18" s="7">
        <v>143.61230769230772</v>
      </c>
    </row>
    <row r="19" spans="1:2" x14ac:dyDescent="0.3">
      <c r="A19" s="2">
        <v>2005</v>
      </c>
      <c r="B19" s="7">
        <v>178.53999999999994</v>
      </c>
    </row>
    <row r="20" spans="1:2" x14ac:dyDescent="0.3">
      <c r="A20" s="2">
        <v>2006</v>
      </c>
      <c r="B20" s="7">
        <v>138.69684210526316</v>
      </c>
    </row>
    <row r="21" spans="1:2" x14ac:dyDescent="0.3">
      <c r="A21" s="2">
        <v>2007</v>
      </c>
      <c r="B21" s="7">
        <v>148.64083333333335</v>
      </c>
    </row>
    <row r="22" spans="1:2" x14ac:dyDescent="0.3">
      <c r="A22" s="2">
        <v>2008</v>
      </c>
      <c r="B22" s="7">
        <v>200.43588235294121</v>
      </c>
    </row>
    <row r="23" spans="1:2" x14ac:dyDescent="0.3">
      <c r="A23" s="2">
        <v>2009</v>
      </c>
      <c r="B23" s="7">
        <v>140.32157894736847</v>
      </c>
    </row>
    <row r="24" spans="1:2" x14ac:dyDescent="0.3">
      <c r="A24" s="2">
        <v>2010</v>
      </c>
      <c r="B24" s="7">
        <v>132.035</v>
      </c>
    </row>
    <row r="25" spans="1:2" x14ac:dyDescent="0.3">
      <c r="A25" s="2">
        <v>2011</v>
      </c>
      <c r="B25" s="7">
        <v>185.38187500000004</v>
      </c>
    </row>
    <row r="26" spans="1:2" x14ac:dyDescent="0.3">
      <c r="A26" s="2">
        <v>2012</v>
      </c>
      <c r="B26" s="7">
        <v>151.85499999999996</v>
      </c>
    </row>
    <row r="27" spans="1:2" x14ac:dyDescent="0.3">
      <c r="A27" s="2">
        <v>2013</v>
      </c>
      <c r="B27" s="7">
        <v>139.01181818181817</v>
      </c>
    </row>
    <row r="28" spans="1:2" x14ac:dyDescent="0.3">
      <c r="A28" s="2">
        <v>2014</v>
      </c>
      <c r="B28" s="7">
        <v>164.6693333333333</v>
      </c>
    </row>
    <row r="29" spans="1:2" x14ac:dyDescent="0.3">
      <c r="A29" s="2">
        <v>2015</v>
      </c>
      <c r="B29" s="7">
        <v>132.14555555555557</v>
      </c>
    </row>
    <row r="30" spans="1:2" x14ac:dyDescent="0.3">
      <c r="A30" s="2">
        <v>2016</v>
      </c>
      <c r="B30" s="7">
        <v>175.68785714285715</v>
      </c>
    </row>
    <row r="31" spans="1:2" x14ac:dyDescent="0.3">
      <c r="A31" s="2">
        <v>2017</v>
      </c>
      <c r="B31" s="7">
        <v>144.77625</v>
      </c>
    </row>
    <row r="32" spans="1:2" x14ac:dyDescent="0.3">
      <c r="A32" s="2">
        <v>2018</v>
      </c>
      <c r="B32" s="7">
        <v>111.66466666666669</v>
      </c>
    </row>
    <row r="33" spans="1:2" x14ac:dyDescent="0.3">
      <c r="A33" s="2">
        <v>2019</v>
      </c>
      <c r="B33" s="7">
        <v>164.62538461538463</v>
      </c>
    </row>
    <row r="34" spans="1:2" x14ac:dyDescent="0.3">
      <c r="A34" s="2">
        <v>2020</v>
      </c>
      <c r="B34" s="7">
        <v>173.65000000000003</v>
      </c>
    </row>
    <row r="35" spans="1:2" x14ac:dyDescent="0.3">
      <c r="A35" s="2">
        <v>2021</v>
      </c>
      <c r="B35" s="7">
        <v>127.56636363636362</v>
      </c>
    </row>
    <row r="36" spans="1:2" x14ac:dyDescent="0.3">
      <c r="A36" s="2">
        <v>2022</v>
      </c>
      <c r="B36" s="7">
        <v>100.45375</v>
      </c>
    </row>
    <row r="37" spans="1:2" x14ac:dyDescent="0.3">
      <c r="A37" s="2" t="s">
        <v>530</v>
      </c>
      <c r="B37" s="7">
        <v>152.65675999999993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CD6F4-0BA2-4B6E-B8BD-7F5F30E98E66}">
  <dimension ref="A3:D7"/>
  <sheetViews>
    <sheetView workbookViewId="0">
      <selection activeCell="D20" sqref="D20"/>
    </sheetView>
  </sheetViews>
  <sheetFormatPr defaultRowHeight="14.4" x14ac:dyDescent="0.3"/>
  <cols>
    <col min="1" max="1" width="20" bestFit="1" customWidth="1"/>
    <col min="2" max="2" width="13" bestFit="1" customWidth="1"/>
    <col min="3" max="3" width="9.21875" bestFit="1" customWidth="1"/>
    <col min="4" max="4" width="10.77734375" bestFit="1" customWidth="1"/>
  </cols>
  <sheetData>
    <row r="3" spans="1:4" x14ac:dyDescent="0.3">
      <c r="A3" s="1" t="s">
        <v>534</v>
      </c>
      <c r="B3" s="1" t="s">
        <v>536</v>
      </c>
    </row>
    <row r="4" spans="1:4" x14ac:dyDescent="0.3">
      <c r="A4" s="1" t="s">
        <v>549</v>
      </c>
      <c r="B4" t="s">
        <v>535</v>
      </c>
      <c r="C4" t="s">
        <v>8</v>
      </c>
      <c r="D4" t="s">
        <v>530</v>
      </c>
    </row>
    <row r="5" spans="1:4" x14ac:dyDescent="0.3">
      <c r="A5" s="2" t="s">
        <v>550</v>
      </c>
      <c r="B5" s="38">
        <v>181</v>
      </c>
      <c r="C5" s="38">
        <v>138</v>
      </c>
      <c r="D5" s="38">
        <v>319</v>
      </c>
    </row>
    <row r="6" spans="1:4" x14ac:dyDescent="0.3">
      <c r="A6" s="2" t="s">
        <v>551</v>
      </c>
      <c r="B6" s="38">
        <v>103</v>
      </c>
      <c r="C6" s="38">
        <v>78</v>
      </c>
      <c r="D6" s="38">
        <v>181</v>
      </c>
    </row>
    <row r="7" spans="1:4" x14ac:dyDescent="0.3">
      <c r="A7" s="2" t="s">
        <v>530</v>
      </c>
      <c r="B7" s="38">
        <v>284</v>
      </c>
      <c r="C7" s="38">
        <v>216</v>
      </c>
      <c r="D7" s="38"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75AE-1B2C-467F-A04A-608EF031707E}">
  <dimension ref="E2:E4"/>
  <sheetViews>
    <sheetView workbookViewId="0">
      <selection activeCell="L18" sqref="L18"/>
    </sheetView>
  </sheetViews>
  <sheetFormatPr defaultRowHeight="14.4" x14ac:dyDescent="0.3"/>
  <cols>
    <col min="5" max="5" width="59.6640625" bestFit="1" customWidth="1"/>
  </cols>
  <sheetData>
    <row r="2" spans="5:5" ht="15" thickBot="1" x14ac:dyDescent="0.35"/>
    <row r="3" spans="5:5" x14ac:dyDescent="0.3">
      <c r="E3" s="19" t="s">
        <v>553</v>
      </c>
    </row>
    <row r="4" spans="5:5" ht="15" thickBot="1" x14ac:dyDescent="0.35">
      <c r="E4" s="18">
        <f>CORREL(startup_data!D:D,startup_data!F:F)</f>
        <v>3.3103136337497313E-2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C48C3-C31E-4B8D-AE0B-CD8F7DDB5F8A}">
  <dimension ref="A2:B9"/>
  <sheetViews>
    <sheetView workbookViewId="0">
      <selection activeCell="B16" sqref="B16"/>
    </sheetView>
  </sheetViews>
  <sheetFormatPr defaultRowHeight="14.4" x14ac:dyDescent="0.3"/>
  <cols>
    <col min="1" max="1" width="11.44140625" bestFit="1" customWidth="1"/>
    <col min="2" max="2" width="27.88671875" bestFit="1" customWidth="1"/>
  </cols>
  <sheetData>
    <row r="2" spans="1:2" ht="15" thickBot="1" x14ac:dyDescent="0.35"/>
    <row r="3" spans="1:2" ht="15" thickBot="1" x14ac:dyDescent="0.35">
      <c r="A3" s="13" t="s">
        <v>554</v>
      </c>
      <c r="B3" s="17" t="s">
        <v>555</v>
      </c>
    </row>
    <row r="4" spans="1:2" x14ac:dyDescent="0.3">
      <c r="A4" s="14" t="s">
        <v>239</v>
      </c>
      <c r="B4" s="23">
        <v>14.945775075987841</v>
      </c>
    </row>
    <row r="5" spans="1:2" x14ac:dyDescent="0.3">
      <c r="A5" s="15" t="s">
        <v>88</v>
      </c>
      <c r="B5" s="24">
        <v>14.920030547676195</v>
      </c>
    </row>
    <row r="6" spans="1:2" x14ac:dyDescent="0.3">
      <c r="A6" s="15" t="s">
        <v>470</v>
      </c>
      <c r="B6" s="24">
        <v>14.908957235632888</v>
      </c>
    </row>
    <row r="7" spans="1:2" x14ac:dyDescent="0.3">
      <c r="A7" s="15" t="s">
        <v>424</v>
      </c>
      <c r="B7" s="24">
        <v>14.899111111111113</v>
      </c>
    </row>
    <row r="8" spans="1:2" ht="15" thickBot="1" x14ac:dyDescent="0.35">
      <c r="A8" s="16" t="s">
        <v>412</v>
      </c>
      <c r="B8" s="24">
        <v>14.85930093776641</v>
      </c>
    </row>
    <row r="9" spans="1:2" ht="15" thickBot="1" x14ac:dyDescent="0.35">
      <c r="A9" s="17" t="s">
        <v>530</v>
      </c>
      <c r="B9" s="21">
        <v>14.896162750603418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2CD7-A8DE-47D8-9ACF-508CBABF1152}">
  <dimension ref="A2:B16"/>
  <sheetViews>
    <sheetView workbookViewId="0">
      <selection activeCell="B22" sqref="B22"/>
    </sheetView>
  </sheetViews>
  <sheetFormatPr defaultRowHeight="14.4" x14ac:dyDescent="0.3"/>
  <cols>
    <col min="1" max="1" width="12.44140625" bestFit="1" customWidth="1"/>
    <col min="2" max="2" width="21.88671875" bestFit="1" customWidth="1"/>
  </cols>
  <sheetData>
    <row r="2" spans="1:2" ht="15" thickBot="1" x14ac:dyDescent="0.35"/>
    <row r="3" spans="1:2" ht="15" thickBot="1" x14ac:dyDescent="0.35">
      <c r="A3" s="13" t="s">
        <v>1</v>
      </c>
      <c r="B3" s="17" t="s">
        <v>556</v>
      </c>
    </row>
    <row r="4" spans="1:2" x14ac:dyDescent="0.3">
      <c r="A4" s="14" t="s">
        <v>75</v>
      </c>
      <c r="B4" s="27">
        <v>0.71129753402256002</v>
      </c>
    </row>
    <row r="5" spans="1:2" x14ac:dyDescent="0.3">
      <c r="A5" s="15" t="s">
        <v>21</v>
      </c>
      <c r="B5" s="28">
        <v>0.62607550415750735</v>
      </c>
    </row>
    <row r="6" spans="1:2" x14ac:dyDescent="0.3">
      <c r="A6" s="15" t="s">
        <v>39</v>
      </c>
      <c r="B6" s="28">
        <v>0.57171241371241377</v>
      </c>
    </row>
    <row r="7" spans="1:2" x14ac:dyDescent="0.3">
      <c r="A7" s="15" t="s">
        <v>34</v>
      </c>
      <c r="B7" s="28">
        <v>0.51678477266332501</v>
      </c>
    </row>
    <row r="8" spans="1:2" x14ac:dyDescent="0.3">
      <c r="A8" s="15" t="s">
        <v>17</v>
      </c>
      <c r="B8" s="28">
        <v>0.50873846392071842</v>
      </c>
    </row>
    <row r="9" spans="1:2" x14ac:dyDescent="0.3">
      <c r="A9" s="15" t="s">
        <v>30</v>
      </c>
      <c r="B9" s="28">
        <v>0.48313158208480711</v>
      </c>
    </row>
    <row r="10" spans="1:2" x14ac:dyDescent="0.3">
      <c r="A10" s="15" t="s">
        <v>25</v>
      </c>
      <c r="B10" s="28">
        <v>0.47373210268485999</v>
      </c>
    </row>
    <row r="11" spans="1:2" ht="15" thickBot="1" x14ac:dyDescent="0.35">
      <c r="A11" s="16" t="s">
        <v>13</v>
      </c>
      <c r="B11" s="28">
        <v>0.44401404744187711</v>
      </c>
    </row>
    <row r="12" spans="1:2" ht="15" thickBot="1" x14ac:dyDescent="0.35">
      <c r="A12" s="17" t="s">
        <v>530</v>
      </c>
      <c r="B12" s="29">
        <v>0.54176909053857414</v>
      </c>
    </row>
    <row r="14" spans="1:2" ht="15" thickBot="1" x14ac:dyDescent="0.35"/>
    <row r="15" spans="1:2" ht="15" thickBot="1" x14ac:dyDescent="0.35">
      <c r="A15" s="33" t="s">
        <v>557</v>
      </c>
      <c r="B15" s="34"/>
    </row>
    <row r="16" spans="1:2" ht="15" thickBot="1" x14ac:dyDescent="0.35">
      <c r="A16" s="35" t="s">
        <v>75</v>
      </c>
      <c r="B16" s="36"/>
    </row>
  </sheetData>
  <mergeCells count="2">
    <mergeCell ref="A15:B15"/>
    <mergeCell ref="A16:B16"/>
  </mergeCells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C6F61-D24A-473E-A980-0AAA599F0E86}">
  <dimension ref="A3:G7"/>
  <sheetViews>
    <sheetView workbookViewId="0">
      <selection activeCell="F19" sqref="F19"/>
    </sheetView>
  </sheetViews>
  <sheetFormatPr defaultRowHeight="14.4" x14ac:dyDescent="0.3"/>
  <cols>
    <col min="1" max="1" width="32.77734375" bestFit="1" customWidth="1"/>
    <col min="2" max="2" width="15.5546875" bestFit="1" customWidth="1"/>
    <col min="3" max="6" width="6.5546875" bestFit="1" customWidth="1"/>
    <col min="7" max="7" width="10.77734375" bestFit="1" customWidth="1"/>
  </cols>
  <sheetData>
    <row r="3" spans="1:7" x14ac:dyDescent="0.3">
      <c r="A3" s="1" t="s">
        <v>532</v>
      </c>
      <c r="B3" s="1" t="s">
        <v>552</v>
      </c>
    </row>
    <row r="4" spans="1:7" x14ac:dyDescent="0.3">
      <c r="A4" s="1" t="s">
        <v>529</v>
      </c>
      <c r="B4">
        <v>1</v>
      </c>
      <c r="C4">
        <v>2</v>
      </c>
      <c r="D4">
        <v>3</v>
      </c>
      <c r="E4">
        <v>4</v>
      </c>
      <c r="F4">
        <v>5</v>
      </c>
      <c r="G4" t="s">
        <v>530</v>
      </c>
    </row>
    <row r="5" spans="1:7" x14ac:dyDescent="0.3">
      <c r="A5" s="2" t="s">
        <v>535</v>
      </c>
      <c r="B5" s="7">
        <v>166.46781250000001</v>
      </c>
      <c r="C5" s="7">
        <v>138.40823529411767</v>
      </c>
      <c r="D5" s="7">
        <v>144.24825396825398</v>
      </c>
      <c r="E5" s="7">
        <v>157.28596491228075</v>
      </c>
      <c r="F5" s="7">
        <v>152.77612244897961</v>
      </c>
      <c r="G5" s="7">
        <v>152.29482394366187</v>
      </c>
    </row>
    <row r="6" spans="1:7" x14ac:dyDescent="0.3">
      <c r="A6" s="2" t="s">
        <v>8</v>
      </c>
      <c r="B6" s="7">
        <v>160.91266666666667</v>
      </c>
      <c r="C6" s="7">
        <v>167.6010869565217</v>
      </c>
      <c r="D6" s="7">
        <v>143.23738095238093</v>
      </c>
      <c r="E6" s="7">
        <v>145.7385185185185</v>
      </c>
      <c r="F6" s="7">
        <v>145.98250000000002</v>
      </c>
      <c r="G6" s="7">
        <v>153.13263888888886</v>
      </c>
    </row>
    <row r="7" spans="1:7" x14ac:dyDescent="0.3">
      <c r="A7" s="2" t="s">
        <v>530</v>
      </c>
      <c r="B7" s="7">
        <v>164.17440366972477</v>
      </c>
      <c r="C7" s="7">
        <v>152.25226804123713</v>
      </c>
      <c r="D7" s="7">
        <v>143.84390476190478</v>
      </c>
      <c r="E7" s="7">
        <v>153.57428571428571</v>
      </c>
      <c r="F7" s="7">
        <v>149.15285714285713</v>
      </c>
      <c r="G7" s="7">
        <v>152.65675999999993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AC39B-2DB9-4E8A-ACAA-3D08C3EEEF98}">
  <dimension ref="A2:C14"/>
  <sheetViews>
    <sheetView workbookViewId="0">
      <selection activeCell="E15" sqref="E15"/>
    </sheetView>
  </sheetViews>
  <sheetFormatPr defaultRowHeight="14.4" x14ac:dyDescent="0.3"/>
  <cols>
    <col min="1" max="1" width="11.6640625" bestFit="1" customWidth="1"/>
    <col min="2" max="2" width="21" bestFit="1" customWidth="1"/>
  </cols>
  <sheetData>
    <row r="2" spans="1:3" ht="15" thickBot="1" x14ac:dyDescent="0.35"/>
    <row r="3" spans="1:3" ht="15" thickBot="1" x14ac:dyDescent="0.35">
      <c r="A3" s="13" t="s">
        <v>543</v>
      </c>
      <c r="B3" s="17" t="s">
        <v>558</v>
      </c>
      <c r="C3" s="32" t="s">
        <v>559</v>
      </c>
    </row>
    <row r="4" spans="1:3" x14ac:dyDescent="0.3">
      <c r="A4" s="14" t="s">
        <v>191</v>
      </c>
      <c r="B4" s="39">
        <v>2.6013793103448277</v>
      </c>
      <c r="C4" s="31">
        <v>1</v>
      </c>
    </row>
    <row r="5" spans="1:3" x14ac:dyDescent="0.3">
      <c r="A5" s="15" t="s">
        <v>435</v>
      </c>
      <c r="B5" s="40">
        <v>1.5036666666666667</v>
      </c>
      <c r="C5" s="30">
        <v>2</v>
      </c>
    </row>
    <row r="6" spans="1:3" x14ac:dyDescent="0.3">
      <c r="A6" s="15" t="s">
        <v>515</v>
      </c>
      <c r="B6" s="40">
        <v>0.84677777777777774</v>
      </c>
      <c r="C6" s="30">
        <v>3</v>
      </c>
    </row>
    <row r="7" spans="1:3" x14ac:dyDescent="0.3">
      <c r="A7" s="15" t="s">
        <v>329</v>
      </c>
      <c r="B7" s="40">
        <v>0.5860240963855422</v>
      </c>
      <c r="C7" s="30">
        <v>4</v>
      </c>
    </row>
    <row r="8" spans="1:3" x14ac:dyDescent="0.3">
      <c r="A8" s="15" t="s">
        <v>448</v>
      </c>
      <c r="B8" s="40">
        <v>0.52944785276073614</v>
      </c>
      <c r="C8" s="30">
        <v>5</v>
      </c>
    </row>
    <row r="9" spans="1:3" x14ac:dyDescent="0.3">
      <c r="A9" s="15" t="s">
        <v>81</v>
      </c>
      <c r="B9" s="40">
        <v>0.47986013986013987</v>
      </c>
      <c r="C9" s="30">
        <v>6</v>
      </c>
    </row>
    <row r="10" spans="1:3" x14ac:dyDescent="0.3">
      <c r="A10" s="15" t="s">
        <v>310</v>
      </c>
      <c r="B10" s="40">
        <v>0.38913419913419911</v>
      </c>
      <c r="C10" s="30">
        <v>7</v>
      </c>
    </row>
    <row r="11" spans="1:3" x14ac:dyDescent="0.3">
      <c r="A11" s="15" t="s">
        <v>430</v>
      </c>
      <c r="B11" s="40">
        <v>0.37130801687763715</v>
      </c>
      <c r="C11" s="30">
        <v>8</v>
      </c>
    </row>
    <row r="12" spans="1:3" x14ac:dyDescent="0.3">
      <c r="A12" s="15" t="s">
        <v>390</v>
      </c>
      <c r="B12" s="40">
        <v>0.35837837837837838</v>
      </c>
      <c r="C12" s="30">
        <v>9</v>
      </c>
    </row>
    <row r="13" spans="1:3" ht="15" thickBot="1" x14ac:dyDescent="0.35">
      <c r="A13" s="16" t="s">
        <v>108</v>
      </c>
      <c r="B13" s="40">
        <v>0.33560885608856089</v>
      </c>
      <c r="C13" s="18">
        <v>10</v>
      </c>
    </row>
    <row r="14" spans="1:3" ht="15" thickBot="1" x14ac:dyDescent="0.35">
      <c r="A14" s="17" t="s">
        <v>530</v>
      </c>
      <c r="B14" s="41">
        <v>0.52330708661417324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FCCD-136F-490D-B9E3-FAA618925CDD}">
  <dimension ref="A3:F19"/>
  <sheetViews>
    <sheetView tabSelected="1" workbookViewId="0">
      <selection activeCell="D9" sqref="D9"/>
    </sheetView>
  </sheetViews>
  <sheetFormatPr defaultRowHeight="14.4" x14ac:dyDescent="0.3"/>
  <cols>
    <col min="1" max="1" width="12.88671875" bestFit="1" customWidth="1"/>
    <col min="2" max="2" width="25.88671875" bestFit="1" customWidth="1"/>
    <col min="3" max="3" width="32.77734375" bestFit="1" customWidth="1"/>
    <col min="4" max="4" width="26.6640625" bestFit="1" customWidth="1"/>
    <col min="5" max="5" width="26.33203125" bestFit="1" customWidth="1"/>
    <col min="6" max="6" width="26.88671875" bestFit="1" customWidth="1"/>
  </cols>
  <sheetData>
    <row r="3" spans="1:6" x14ac:dyDescent="0.3">
      <c r="A3" s="1" t="s">
        <v>529</v>
      </c>
      <c r="B3" t="s">
        <v>562</v>
      </c>
      <c r="C3" t="s">
        <v>532</v>
      </c>
      <c r="D3" t="s">
        <v>563</v>
      </c>
      <c r="E3" t="s">
        <v>564</v>
      </c>
      <c r="F3" t="s">
        <v>565</v>
      </c>
    </row>
    <row r="4" spans="1:6" x14ac:dyDescent="0.3">
      <c r="A4" s="2" t="s">
        <v>41</v>
      </c>
      <c r="B4" s="38">
        <v>48.278155339805821</v>
      </c>
      <c r="C4" s="38">
        <v>156.76048543689319</v>
      </c>
      <c r="D4" s="38">
        <v>1411.7695145631067</v>
      </c>
      <c r="E4" s="38">
        <v>9.0059016507156731</v>
      </c>
      <c r="F4" s="38">
        <v>0.30797401019302839</v>
      </c>
    </row>
    <row r="5" spans="1:6" x14ac:dyDescent="0.3">
      <c r="A5" s="2" t="s">
        <v>28</v>
      </c>
      <c r="B5" s="38">
        <v>47.116018518518509</v>
      </c>
      <c r="C5" s="38">
        <v>146.72999999999999</v>
      </c>
      <c r="D5" s="38">
        <v>1314.6779629629639</v>
      </c>
      <c r="E5" s="38">
        <v>8.9598443601374207</v>
      </c>
      <c r="F5" s="38">
        <v>0.32110692100128474</v>
      </c>
    </row>
    <row r="6" spans="1:6" x14ac:dyDescent="0.3">
      <c r="A6" s="2" t="s">
        <v>14</v>
      </c>
      <c r="B6" s="38">
        <v>53.592450980392179</v>
      </c>
      <c r="C6" s="38">
        <v>142.16901960784307</v>
      </c>
      <c r="D6" s="38">
        <v>1218.488823529412</v>
      </c>
      <c r="E6" s="38">
        <v>8.5707056775834403</v>
      </c>
      <c r="F6" s="38">
        <v>0.37696293558344007</v>
      </c>
    </row>
    <row r="7" spans="1:6" x14ac:dyDescent="0.3">
      <c r="A7" s="2" t="s">
        <v>32</v>
      </c>
      <c r="B7" s="38">
        <v>51.86278350515461</v>
      </c>
      <c r="C7" s="38">
        <v>160.40298969072168</v>
      </c>
      <c r="D7" s="38">
        <v>1492.3293814432998</v>
      </c>
      <c r="E7" s="38">
        <v>9.3036257261832187</v>
      </c>
      <c r="F7" s="38">
        <v>0.32332803525141868</v>
      </c>
    </row>
    <row r="8" spans="1:6" x14ac:dyDescent="0.3">
      <c r="A8" s="2" t="s">
        <v>18</v>
      </c>
      <c r="B8" s="38">
        <v>45.58411111111112</v>
      </c>
      <c r="C8" s="38">
        <v>158.60977777777779</v>
      </c>
      <c r="D8" s="38">
        <v>1438.5033333333331</v>
      </c>
      <c r="E8" s="38">
        <v>9.0694492703266132</v>
      </c>
      <c r="F8" s="38">
        <v>0.28739786253894956</v>
      </c>
    </row>
    <row r="9" spans="1:6" x14ac:dyDescent="0.3">
      <c r="A9" s="2" t="s">
        <v>530</v>
      </c>
      <c r="B9" s="38">
        <v>49.32173999999997</v>
      </c>
      <c r="C9" s="38">
        <v>152.65676000000002</v>
      </c>
      <c r="D9" s="38">
        <v>1371.8091799999986</v>
      </c>
      <c r="E9" s="38">
        <v>8.9862327747555923</v>
      </c>
      <c r="F9" s="38">
        <v>0.32308913146067009</v>
      </c>
    </row>
    <row r="13" spans="1:6" ht="15" thickBot="1" x14ac:dyDescent="0.35"/>
    <row r="14" spans="1:6" x14ac:dyDescent="0.3">
      <c r="A14" s="46" t="s">
        <v>10</v>
      </c>
      <c r="B14" s="47" t="s">
        <v>566</v>
      </c>
      <c r="C14" s="48" t="s">
        <v>559</v>
      </c>
    </row>
    <row r="15" spans="1:6" x14ac:dyDescent="0.3">
      <c r="A15" s="5" t="s">
        <v>32</v>
      </c>
      <c r="B15" s="42">
        <v>23</v>
      </c>
      <c r="C15" s="43">
        <f>_xlfn.RANK.EQ(B15,$B$15:$B$19,0)</f>
        <v>1</v>
      </c>
    </row>
    <row r="16" spans="1:6" x14ac:dyDescent="0.3">
      <c r="A16" s="5" t="s">
        <v>41</v>
      </c>
      <c r="B16" s="42">
        <v>14</v>
      </c>
      <c r="C16" s="43">
        <f>_xlfn.RANK.EQ(B16,$B$15:$B$19,0)</f>
        <v>2</v>
      </c>
    </row>
    <row r="17" spans="1:3" x14ac:dyDescent="0.3">
      <c r="A17" s="5" t="s">
        <v>18</v>
      </c>
      <c r="B17" s="42">
        <v>14</v>
      </c>
      <c r="C17" s="43">
        <f>_xlfn.RANK.EQ(B17,$B$15:$B$19,0)</f>
        <v>2</v>
      </c>
    </row>
    <row r="18" spans="1:3" x14ac:dyDescent="0.3">
      <c r="A18" s="5" t="s">
        <v>14</v>
      </c>
      <c r="B18" s="42">
        <v>13</v>
      </c>
      <c r="C18" s="43">
        <f>_xlfn.RANK.EQ(B18,$B$15:$B$19,0)</f>
        <v>4</v>
      </c>
    </row>
    <row r="19" spans="1:3" ht="15" thickBot="1" x14ac:dyDescent="0.35">
      <c r="A19" s="6" t="s">
        <v>28</v>
      </c>
      <c r="B19" s="44">
        <v>11</v>
      </c>
      <c r="C19" s="45">
        <f>_xlfn.RANK.EQ(B19,$B$15:$B$19,0)</f>
        <v>5</v>
      </c>
    </row>
  </sheetData>
  <sortState xmlns:xlrd2="http://schemas.microsoft.com/office/spreadsheetml/2017/richdata2" ref="A15:G19">
    <sortCondition descending="1" ref="G15:G19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14C0-B4C5-4B1A-AD91-F12C4EF0C4B5}">
  <dimension ref="A1:M501"/>
  <sheetViews>
    <sheetView workbookViewId="0">
      <selection activeCell="I16" sqref="A1:M50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549</v>
      </c>
    </row>
    <row r="2" spans="1:13" x14ac:dyDescent="0.3">
      <c r="A2" t="s">
        <v>12</v>
      </c>
      <c r="B2" t="s">
        <v>13</v>
      </c>
      <c r="C2">
        <v>1</v>
      </c>
      <c r="D2">
        <v>101.09</v>
      </c>
      <c r="E2">
        <v>844.75</v>
      </c>
      <c r="F2">
        <v>67.87</v>
      </c>
      <c r="G2">
        <v>1468</v>
      </c>
      <c r="H2">
        <v>5.2</v>
      </c>
      <c r="I2">
        <v>0</v>
      </c>
      <c r="J2">
        <v>2006</v>
      </c>
      <c r="K2" t="s">
        <v>14</v>
      </c>
      <c r="L2" t="s">
        <v>15</v>
      </c>
      <c r="M2" t="str">
        <f>IF(J2&gt;2010,"Yes","No")</f>
        <v>No</v>
      </c>
    </row>
    <row r="3" spans="1:13" x14ac:dyDescent="0.3">
      <c r="A3" t="s">
        <v>16</v>
      </c>
      <c r="B3" t="s">
        <v>17</v>
      </c>
      <c r="C3">
        <v>1</v>
      </c>
      <c r="D3">
        <v>247.62</v>
      </c>
      <c r="E3">
        <v>3310.83</v>
      </c>
      <c r="F3">
        <v>75.650000000000006</v>
      </c>
      <c r="G3">
        <v>3280</v>
      </c>
      <c r="H3">
        <v>8.1</v>
      </c>
      <c r="I3">
        <v>1</v>
      </c>
      <c r="J3">
        <v>2003</v>
      </c>
      <c r="K3" t="s">
        <v>18</v>
      </c>
      <c r="L3" t="s">
        <v>15</v>
      </c>
      <c r="M3" t="str">
        <f t="shared" ref="M3:M66" si="0">IF(J3&gt;2010,"Yes","No")</f>
        <v>No</v>
      </c>
    </row>
    <row r="4" spans="1:13" x14ac:dyDescent="0.3">
      <c r="A4" t="s">
        <v>19</v>
      </c>
      <c r="B4" t="s">
        <v>17</v>
      </c>
      <c r="C4">
        <v>1</v>
      </c>
      <c r="D4">
        <v>109.24</v>
      </c>
      <c r="E4">
        <v>1059.3699999999999</v>
      </c>
      <c r="F4">
        <v>84.21</v>
      </c>
      <c r="G4">
        <v>4933</v>
      </c>
      <c r="H4">
        <v>2.61</v>
      </c>
      <c r="I4">
        <v>1</v>
      </c>
      <c r="J4">
        <v>1995</v>
      </c>
      <c r="K4" t="s">
        <v>18</v>
      </c>
      <c r="L4" t="s">
        <v>15</v>
      </c>
      <c r="M4" t="str">
        <f t="shared" si="0"/>
        <v>No</v>
      </c>
    </row>
    <row r="5" spans="1:13" x14ac:dyDescent="0.3">
      <c r="A5" t="s">
        <v>20</v>
      </c>
      <c r="B5" t="s">
        <v>21</v>
      </c>
      <c r="C5">
        <v>5</v>
      </c>
      <c r="D5">
        <v>10.75</v>
      </c>
      <c r="E5">
        <v>101.9</v>
      </c>
      <c r="F5">
        <v>47.08</v>
      </c>
      <c r="G5">
        <v>1059</v>
      </c>
      <c r="H5">
        <v>2.5299999999999998</v>
      </c>
      <c r="I5">
        <v>0</v>
      </c>
      <c r="J5">
        <v>2003</v>
      </c>
      <c r="K5" t="s">
        <v>18</v>
      </c>
      <c r="L5" t="s">
        <v>15</v>
      </c>
      <c r="M5" t="str">
        <f t="shared" si="0"/>
        <v>No</v>
      </c>
    </row>
    <row r="6" spans="1:13" x14ac:dyDescent="0.3">
      <c r="A6" t="s">
        <v>22</v>
      </c>
      <c r="B6" t="s">
        <v>13</v>
      </c>
      <c r="C6">
        <v>4</v>
      </c>
      <c r="D6">
        <v>249.28</v>
      </c>
      <c r="E6">
        <v>850.11</v>
      </c>
      <c r="F6">
        <v>50.25</v>
      </c>
      <c r="G6">
        <v>1905</v>
      </c>
      <c r="H6">
        <v>4.09</v>
      </c>
      <c r="I6">
        <v>0</v>
      </c>
      <c r="J6">
        <v>1997</v>
      </c>
      <c r="K6" t="s">
        <v>14</v>
      </c>
      <c r="L6" t="s">
        <v>23</v>
      </c>
      <c r="M6" t="str">
        <f t="shared" si="0"/>
        <v>No</v>
      </c>
    </row>
    <row r="7" spans="1:13" x14ac:dyDescent="0.3">
      <c r="A7" t="s">
        <v>24</v>
      </c>
      <c r="B7" t="s">
        <v>25</v>
      </c>
      <c r="C7">
        <v>5</v>
      </c>
      <c r="D7">
        <v>103.89</v>
      </c>
      <c r="E7">
        <v>1541.76</v>
      </c>
      <c r="F7">
        <v>12.56</v>
      </c>
      <c r="G7">
        <v>1462</v>
      </c>
      <c r="H7">
        <v>8.9600000000000009</v>
      </c>
      <c r="I7">
        <v>1</v>
      </c>
      <c r="J7">
        <v>2004</v>
      </c>
      <c r="K7" t="s">
        <v>14</v>
      </c>
      <c r="L7" t="s">
        <v>26</v>
      </c>
      <c r="M7" t="str">
        <f t="shared" si="0"/>
        <v>No</v>
      </c>
    </row>
    <row r="8" spans="1:13" x14ac:dyDescent="0.3">
      <c r="A8" t="s">
        <v>27</v>
      </c>
      <c r="B8" t="s">
        <v>21</v>
      </c>
      <c r="C8">
        <v>4</v>
      </c>
      <c r="D8">
        <v>232.26</v>
      </c>
      <c r="E8">
        <v>1039.51</v>
      </c>
      <c r="F8">
        <v>38.6</v>
      </c>
      <c r="G8">
        <v>1404</v>
      </c>
      <c r="H8">
        <v>0.1</v>
      </c>
      <c r="I8">
        <v>0</v>
      </c>
      <c r="J8">
        <v>2016</v>
      </c>
      <c r="K8" t="s">
        <v>28</v>
      </c>
      <c r="L8" t="s">
        <v>15</v>
      </c>
      <c r="M8" t="str">
        <f t="shared" si="0"/>
        <v>Yes</v>
      </c>
    </row>
    <row r="9" spans="1:13" x14ac:dyDescent="0.3">
      <c r="A9" t="s">
        <v>29</v>
      </c>
      <c r="B9" t="s">
        <v>30</v>
      </c>
      <c r="C9">
        <v>5</v>
      </c>
      <c r="D9">
        <v>109.15</v>
      </c>
      <c r="E9">
        <v>630.19000000000005</v>
      </c>
      <c r="F9">
        <v>64.37</v>
      </c>
      <c r="G9">
        <v>3420</v>
      </c>
      <c r="H9">
        <v>9.02</v>
      </c>
      <c r="I9">
        <v>1</v>
      </c>
      <c r="J9">
        <v>2002</v>
      </c>
      <c r="K9" t="s">
        <v>28</v>
      </c>
      <c r="L9" t="s">
        <v>26</v>
      </c>
      <c r="M9" t="str">
        <f t="shared" si="0"/>
        <v>No</v>
      </c>
    </row>
    <row r="10" spans="1:13" x14ac:dyDescent="0.3">
      <c r="A10" t="s">
        <v>31</v>
      </c>
      <c r="B10" t="s">
        <v>21</v>
      </c>
      <c r="C10">
        <v>5</v>
      </c>
      <c r="D10">
        <v>258.39</v>
      </c>
      <c r="E10">
        <v>935.47</v>
      </c>
      <c r="F10">
        <v>78.06</v>
      </c>
      <c r="G10">
        <v>447</v>
      </c>
      <c r="H10">
        <v>1.62</v>
      </c>
      <c r="I10">
        <v>0</v>
      </c>
      <c r="J10">
        <v>2020</v>
      </c>
      <c r="K10" t="s">
        <v>32</v>
      </c>
      <c r="L10" t="s">
        <v>23</v>
      </c>
      <c r="M10" t="str">
        <f t="shared" si="0"/>
        <v>Yes</v>
      </c>
    </row>
    <row r="11" spans="1:13" x14ac:dyDescent="0.3">
      <c r="A11" t="s">
        <v>33</v>
      </c>
      <c r="B11" t="s">
        <v>34</v>
      </c>
      <c r="C11">
        <v>3</v>
      </c>
      <c r="D11">
        <v>66.239999999999995</v>
      </c>
      <c r="E11">
        <v>707.45</v>
      </c>
      <c r="F11">
        <v>21.8</v>
      </c>
      <c r="G11">
        <v>3655</v>
      </c>
      <c r="H11">
        <v>9.9</v>
      </c>
      <c r="I11">
        <v>0</v>
      </c>
      <c r="J11">
        <v>1995</v>
      </c>
      <c r="K11" t="s">
        <v>14</v>
      </c>
      <c r="L11" t="s">
        <v>15</v>
      </c>
      <c r="M11" t="str">
        <f t="shared" si="0"/>
        <v>No</v>
      </c>
    </row>
    <row r="12" spans="1:13" x14ac:dyDescent="0.3">
      <c r="A12" t="s">
        <v>35</v>
      </c>
      <c r="B12" t="s">
        <v>25</v>
      </c>
      <c r="C12">
        <v>5</v>
      </c>
      <c r="D12">
        <v>292.38</v>
      </c>
      <c r="E12">
        <v>1665.52</v>
      </c>
      <c r="F12">
        <v>13.87</v>
      </c>
      <c r="G12">
        <v>4657</v>
      </c>
      <c r="H12">
        <v>9.5500000000000007</v>
      </c>
      <c r="I12">
        <v>0</v>
      </c>
      <c r="J12">
        <v>1994</v>
      </c>
      <c r="K12" t="s">
        <v>14</v>
      </c>
      <c r="L12" t="s">
        <v>15</v>
      </c>
      <c r="M12" t="str">
        <f t="shared" si="0"/>
        <v>No</v>
      </c>
    </row>
    <row r="13" spans="1:13" x14ac:dyDescent="0.3">
      <c r="A13" t="s">
        <v>36</v>
      </c>
      <c r="B13" t="s">
        <v>34</v>
      </c>
      <c r="C13">
        <v>2</v>
      </c>
      <c r="D13">
        <v>234.04</v>
      </c>
      <c r="E13">
        <v>1207.68</v>
      </c>
      <c r="F13">
        <v>66.34</v>
      </c>
      <c r="G13">
        <v>1183</v>
      </c>
      <c r="H13">
        <v>5</v>
      </c>
      <c r="I13">
        <v>0</v>
      </c>
      <c r="J13">
        <v>2011</v>
      </c>
      <c r="K13" t="s">
        <v>14</v>
      </c>
      <c r="L13" t="s">
        <v>15</v>
      </c>
      <c r="M13" t="str">
        <f t="shared" si="0"/>
        <v>Yes</v>
      </c>
    </row>
    <row r="14" spans="1:13" x14ac:dyDescent="0.3">
      <c r="A14" t="s">
        <v>37</v>
      </c>
      <c r="B14" t="s">
        <v>13</v>
      </c>
      <c r="C14">
        <v>3</v>
      </c>
      <c r="D14">
        <v>34.71</v>
      </c>
      <c r="E14">
        <v>141.02000000000001</v>
      </c>
      <c r="F14">
        <v>0.28999999999999998</v>
      </c>
      <c r="G14">
        <v>4463</v>
      </c>
      <c r="H14">
        <v>5.18</v>
      </c>
      <c r="I14">
        <v>1</v>
      </c>
      <c r="J14">
        <v>2012</v>
      </c>
      <c r="K14" t="s">
        <v>28</v>
      </c>
      <c r="L14" t="s">
        <v>23</v>
      </c>
      <c r="M14" t="str">
        <f t="shared" si="0"/>
        <v>Yes</v>
      </c>
    </row>
    <row r="15" spans="1:13" x14ac:dyDescent="0.3">
      <c r="A15" t="s">
        <v>38</v>
      </c>
      <c r="B15" t="s">
        <v>39</v>
      </c>
      <c r="C15">
        <v>5</v>
      </c>
      <c r="D15">
        <v>169.95</v>
      </c>
      <c r="E15">
        <v>720.54</v>
      </c>
      <c r="F15">
        <v>17.920000000000002</v>
      </c>
      <c r="G15">
        <v>1262</v>
      </c>
      <c r="H15">
        <v>4.87</v>
      </c>
      <c r="I15">
        <v>0</v>
      </c>
      <c r="J15">
        <v>2014</v>
      </c>
      <c r="K15" t="s">
        <v>18</v>
      </c>
      <c r="L15" t="s">
        <v>23</v>
      </c>
      <c r="M15" t="str">
        <f t="shared" si="0"/>
        <v>Yes</v>
      </c>
    </row>
    <row r="16" spans="1:13" x14ac:dyDescent="0.3">
      <c r="A16" t="s">
        <v>40</v>
      </c>
      <c r="B16" t="s">
        <v>34</v>
      </c>
      <c r="C16">
        <v>1</v>
      </c>
      <c r="D16">
        <v>295.62</v>
      </c>
      <c r="E16">
        <v>2960.94</v>
      </c>
      <c r="F16">
        <v>3</v>
      </c>
      <c r="G16">
        <v>3639</v>
      </c>
      <c r="H16">
        <v>6.39</v>
      </c>
      <c r="I16">
        <v>1</v>
      </c>
      <c r="J16">
        <v>2015</v>
      </c>
      <c r="K16" t="s">
        <v>41</v>
      </c>
      <c r="L16" t="s">
        <v>23</v>
      </c>
      <c r="M16" t="str">
        <f t="shared" si="0"/>
        <v>Yes</v>
      </c>
    </row>
    <row r="17" spans="1:13" x14ac:dyDescent="0.3">
      <c r="A17" t="s">
        <v>42</v>
      </c>
      <c r="B17" t="s">
        <v>30</v>
      </c>
      <c r="C17">
        <v>2</v>
      </c>
      <c r="D17">
        <v>141.58000000000001</v>
      </c>
      <c r="E17">
        <v>1593.98</v>
      </c>
      <c r="F17">
        <v>16.77</v>
      </c>
      <c r="G17">
        <v>1846</v>
      </c>
      <c r="H17">
        <v>1</v>
      </c>
      <c r="I17">
        <v>1</v>
      </c>
      <c r="J17">
        <v>1994</v>
      </c>
      <c r="K17" t="s">
        <v>28</v>
      </c>
      <c r="L17" t="s">
        <v>15</v>
      </c>
      <c r="M17" t="str">
        <f t="shared" si="0"/>
        <v>No</v>
      </c>
    </row>
    <row r="18" spans="1:13" x14ac:dyDescent="0.3">
      <c r="A18" t="s">
        <v>43</v>
      </c>
      <c r="B18" t="s">
        <v>21</v>
      </c>
      <c r="C18">
        <v>2</v>
      </c>
      <c r="D18">
        <v>55.04</v>
      </c>
      <c r="E18">
        <v>427.58</v>
      </c>
      <c r="F18">
        <v>18.21</v>
      </c>
      <c r="G18">
        <v>2314</v>
      </c>
      <c r="H18">
        <v>0.42</v>
      </c>
      <c r="I18">
        <v>0</v>
      </c>
      <c r="J18">
        <v>2015</v>
      </c>
      <c r="K18" t="s">
        <v>14</v>
      </c>
      <c r="L18" t="s">
        <v>15</v>
      </c>
      <c r="M18" t="str">
        <f t="shared" si="0"/>
        <v>Yes</v>
      </c>
    </row>
    <row r="19" spans="1:13" x14ac:dyDescent="0.3">
      <c r="A19" t="s">
        <v>44</v>
      </c>
      <c r="B19" t="s">
        <v>39</v>
      </c>
      <c r="C19">
        <v>2</v>
      </c>
      <c r="D19">
        <v>145.69</v>
      </c>
      <c r="E19">
        <v>1276.06</v>
      </c>
      <c r="F19">
        <v>38.83</v>
      </c>
      <c r="G19">
        <v>915</v>
      </c>
      <c r="H19">
        <v>0.67</v>
      </c>
      <c r="I19">
        <v>1</v>
      </c>
      <c r="J19">
        <v>2009</v>
      </c>
      <c r="K19" t="s">
        <v>28</v>
      </c>
      <c r="L19" t="s">
        <v>15</v>
      </c>
      <c r="M19" t="str">
        <f t="shared" si="0"/>
        <v>No</v>
      </c>
    </row>
    <row r="20" spans="1:13" x14ac:dyDescent="0.3">
      <c r="A20" t="s">
        <v>45</v>
      </c>
      <c r="B20" t="s">
        <v>21</v>
      </c>
      <c r="C20">
        <v>3</v>
      </c>
      <c r="D20">
        <v>153.97999999999999</v>
      </c>
      <c r="E20">
        <v>1729.44</v>
      </c>
      <c r="F20">
        <v>40.29</v>
      </c>
      <c r="G20">
        <v>4345</v>
      </c>
      <c r="H20">
        <v>4.5</v>
      </c>
      <c r="I20">
        <v>0</v>
      </c>
      <c r="J20">
        <v>1995</v>
      </c>
      <c r="K20" t="s">
        <v>32</v>
      </c>
      <c r="L20" t="s">
        <v>23</v>
      </c>
      <c r="M20" t="str">
        <f t="shared" si="0"/>
        <v>No</v>
      </c>
    </row>
    <row r="21" spans="1:13" x14ac:dyDescent="0.3">
      <c r="A21" t="s">
        <v>46</v>
      </c>
      <c r="B21" t="s">
        <v>34</v>
      </c>
      <c r="C21">
        <v>5</v>
      </c>
      <c r="D21">
        <v>222.64</v>
      </c>
      <c r="E21">
        <v>714.35</v>
      </c>
      <c r="F21">
        <v>87.44</v>
      </c>
      <c r="G21">
        <v>4642</v>
      </c>
      <c r="H21">
        <v>2.83</v>
      </c>
      <c r="I21">
        <v>0</v>
      </c>
      <c r="J21">
        <v>1995</v>
      </c>
      <c r="K21" t="s">
        <v>14</v>
      </c>
      <c r="L21" t="s">
        <v>15</v>
      </c>
      <c r="M21" t="str">
        <f t="shared" si="0"/>
        <v>No</v>
      </c>
    </row>
    <row r="22" spans="1:13" x14ac:dyDescent="0.3">
      <c r="A22" t="s">
        <v>47</v>
      </c>
      <c r="B22" t="s">
        <v>21</v>
      </c>
      <c r="C22">
        <v>5</v>
      </c>
      <c r="D22">
        <v>209.8</v>
      </c>
      <c r="E22">
        <v>1442.91</v>
      </c>
      <c r="F22">
        <v>51.06</v>
      </c>
      <c r="G22">
        <v>4014</v>
      </c>
      <c r="H22">
        <v>6.26</v>
      </c>
      <c r="I22">
        <v>1</v>
      </c>
      <c r="J22">
        <v>2007</v>
      </c>
      <c r="K22" t="s">
        <v>32</v>
      </c>
      <c r="L22" t="s">
        <v>15</v>
      </c>
      <c r="M22" t="str">
        <f t="shared" si="0"/>
        <v>No</v>
      </c>
    </row>
    <row r="23" spans="1:13" x14ac:dyDescent="0.3">
      <c r="A23" t="s">
        <v>48</v>
      </c>
      <c r="B23" t="s">
        <v>13</v>
      </c>
      <c r="C23">
        <v>1</v>
      </c>
      <c r="D23">
        <v>121.06</v>
      </c>
      <c r="E23">
        <v>1776.82</v>
      </c>
      <c r="F23">
        <v>72.37</v>
      </c>
      <c r="G23">
        <v>2174</v>
      </c>
      <c r="H23">
        <v>9.93</v>
      </c>
      <c r="I23">
        <v>0</v>
      </c>
      <c r="J23">
        <v>1993</v>
      </c>
      <c r="K23" t="s">
        <v>14</v>
      </c>
      <c r="L23" t="s">
        <v>15</v>
      </c>
      <c r="M23" t="str">
        <f t="shared" si="0"/>
        <v>No</v>
      </c>
    </row>
    <row r="24" spans="1:13" x14ac:dyDescent="0.3">
      <c r="A24" t="s">
        <v>49</v>
      </c>
      <c r="B24" t="s">
        <v>39</v>
      </c>
      <c r="C24">
        <v>1</v>
      </c>
      <c r="D24">
        <v>65.8</v>
      </c>
      <c r="E24">
        <v>655.46</v>
      </c>
      <c r="F24">
        <v>10.5</v>
      </c>
      <c r="G24">
        <v>2177</v>
      </c>
      <c r="H24">
        <v>3.92</v>
      </c>
      <c r="I24">
        <v>0</v>
      </c>
      <c r="J24">
        <v>2006</v>
      </c>
      <c r="K24" t="s">
        <v>28</v>
      </c>
      <c r="L24" t="s">
        <v>15</v>
      </c>
      <c r="M24" t="str">
        <f t="shared" si="0"/>
        <v>No</v>
      </c>
    </row>
    <row r="25" spans="1:13" x14ac:dyDescent="0.3">
      <c r="A25" t="s">
        <v>50</v>
      </c>
      <c r="B25" t="s">
        <v>13</v>
      </c>
      <c r="C25">
        <v>2</v>
      </c>
      <c r="D25">
        <v>193.69</v>
      </c>
      <c r="E25">
        <v>1171.96</v>
      </c>
      <c r="F25">
        <v>22.62</v>
      </c>
      <c r="G25">
        <v>128</v>
      </c>
      <c r="H25">
        <v>5.78</v>
      </c>
      <c r="I25">
        <v>0</v>
      </c>
      <c r="J25">
        <v>2003</v>
      </c>
      <c r="K25" t="s">
        <v>18</v>
      </c>
      <c r="L25" t="s">
        <v>15</v>
      </c>
      <c r="M25" t="str">
        <f t="shared" si="0"/>
        <v>No</v>
      </c>
    </row>
    <row r="26" spans="1:13" x14ac:dyDescent="0.3">
      <c r="A26" t="s">
        <v>51</v>
      </c>
      <c r="B26" t="s">
        <v>34</v>
      </c>
      <c r="C26">
        <v>1</v>
      </c>
      <c r="D26">
        <v>126.8</v>
      </c>
      <c r="E26">
        <v>1174.26</v>
      </c>
      <c r="F26">
        <v>70.319999999999993</v>
      </c>
      <c r="G26">
        <v>3163</v>
      </c>
      <c r="H26">
        <v>4.21</v>
      </c>
      <c r="I26">
        <v>0</v>
      </c>
      <c r="J26">
        <v>2003</v>
      </c>
      <c r="K26" t="s">
        <v>41</v>
      </c>
      <c r="L26" t="s">
        <v>23</v>
      </c>
      <c r="M26" t="str">
        <f t="shared" si="0"/>
        <v>No</v>
      </c>
    </row>
    <row r="27" spans="1:13" x14ac:dyDescent="0.3">
      <c r="A27" t="s">
        <v>52</v>
      </c>
      <c r="B27" t="s">
        <v>13</v>
      </c>
      <c r="C27">
        <v>3</v>
      </c>
      <c r="D27">
        <v>40.119999999999997</v>
      </c>
      <c r="E27">
        <v>285.33</v>
      </c>
      <c r="F27">
        <v>5.38</v>
      </c>
      <c r="G27">
        <v>790</v>
      </c>
      <c r="H27">
        <v>8.49</v>
      </c>
      <c r="I27">
        <v>1</v>
      </c>
      <c r="J27">
        <v>2002</v>
      </c>
      <c r="K27" t="s">
        <v>32</v>
      </c>
      <c r="L27" t="s">
        <v>23</v>
      </c>
      <c r="M27" t="str">
        <f t="shared" si="0"/>
        <v>No</v>
      </c>
    </row>
    <row r="28" spans="1:13" x14ac:dyDescent="0.3">
      <c r="A28" t="s">
        <v>53</v>
      </c>
      <c r="B28" t="s">
        <v>30</v>
      </c>
      <c r="C28">
        <v>5</v>
      </c>
      <c r="D28">
        <v>270.22000000000003</v>
      </c>
      <c r="E28">
        <v>2536.54</v>
      </c>
      <c r="F28">
        <v>48.71</v>
      </c>
      <c r="G28">
        <v>2421</v>
      </c>
      <c r="H28">
        <v>9.0299999999999994</v>
      </c>
      <c r="I28">
        <v>1</v>
      </c>
      <c r="J28">
        <v>1996</v>
      </c>
      <c r="K28" t="s">
        <v>28</v>
      </c>
      <c r="L28" t="s">
        <v>15</v>
      </c>
      <c r="M28" t="str">
        <f t="shared" si="0"/>
        <v>No</v>
      </c>
    </row>
    <row r="29" spans="1:13" x14ac:dyDescent="0.3">
      <c r="A29" t="s">
        <v>54</v>
      </c>
      <c r="B29" t="s">
        <v>34</v>
      </c>
      <c r="C29">
        <v>2</v>
      </c>
      <c r="D29">
        <v>207.52</v>
      </c>
      <c r="E29">
        <v>935.69</v>
      </c>
      <c r="F29">
        <v>59.98</v>
      </c>
      <c r="G29">
        <v>801</v>
      </c>
      <c r="H29">
        <v>8.7899999999999991</v>
      </c>
      <c r="I29">
        <v>1</v>
      </c>
      <c r="J29">
        <v>2004</v>
      </c>
      <c r="K29" t="s">
        <v>18</v>
      </c>
      <c r="L29" t="s">
        <v>26</v>
      </c>
      <c r="M29" t="str">
        <f t="shared" si="0"/>
        <v>No</v>
      </c>
    </row>
    <row r="30" spans="1:13" x14ac:dyDescent="0.3">
      <c r="A30" t="s">
        <v>55</v>
      </c>
      <c r="B30" t="s">
        <v>34</v>
      </c>
      <c r="C30">
        <v>1</v>
      </c>
      <c r="D30">
        <v>205.11</v>
      </c>
      <c r="E30">
        <v>941.98</v>
      </c>
      <c r="F30">
        <v>60.25</v>
      </c>
      <c r="G30">
        <v>4177</v>
      </c>
      <c r="H30">
        <v>9.75</v>
      </c>
      <c r="I30">
        <v>1</v>
      </c>
      <c r="J30">
        <v>2008</v>
      </c>
      <c r="K30" t="s">
        <v>28</v>
      </c>
      <c r="L30" t="s">
        <v>23</v>
      </c>
      <c r="M30" t="str">
        <f t="shared" si="0"/>
        <v>No</v>
      </c>
    </row>
    <row r="31" spans="1:13" x14ac:dyDescent="0.3">
      <c r="A31" t="s">
        <v>56</v>
      </c>
      <c r="B31" t="s">
        <v>34</v>
      </c>
      <c r="C31">
        <v>3</v>
      </c>
      <c r="D31">
        <v>246.86</v>
      </c>
      <c r="E31">
        <v>1165.8</v>
      </c>
      <c r="F31">
        <v>2.39</v>
      </c>
      <c r="G31">
        <v>4159</v>
      </c>
      <c r="H31">
        <v>0.37</v>
      </c>
      <c r="I31">
        <v>0</v>
      </c>
      <c r="J31">
        <v>2006</v>
      </c>
      <c r="K31" t="s">
        <v>32</v>
      </c>
      <c r="L31" t="s">
        <v>23</v>
      </c>
      <c r="M31" t="str">
        <f t="shared" si="0"/>
        <v>No</v>
      </c>
    </row>
    <row r="32" spans="1:13" x14ac:dyDescent="0.3">
      <c r="A32" t="s">
        <v>57</v>
      </c>
      <c r="B32" t="s">
        <v>25</v>
      </c>
      <c r="C32">
        <v>3</v>
      </c>
      <c r="D32">
        <v>159.13</v>
      </c>
      <c r="E32">
        <v>2272.0300000000002</v>
      </c>
      <c r="F32">
        <v>32.28</v>
      </c>
      <c r="G32">
        <v>1941</v>
      </c>
      <c r="H32">
        <v>8.41</v>
      </c>
      <c r="I32">
        <v>0</v>
      </c>
      <c r="J32">
        <v>2008</v>
      </c>
      <c r="K32" t="s">
        <v>41</v>
      </c>
      <c r="L32" t="s">
        <v>23</v>
      </c>
      <c r="M32" t="str">
        <f t="shared" si="0"/>
        <v>No</v>
      </c>
    </row>
    <row r="33" spans="1:13" x14ac:dyDescent="0.3">
      <c r="A33" t="s">
        <v>58</v>
      </c>
      <c r="B33" t="s">
        <v>21</v>
      </c>
      <c r="C33">
        <v>1</v>
      </c>
      <c r="D33">
        <v>244.61</v>
      </c>
      <c r="E33">
        <v>2885.12</v>
      </c>
      <c r="F33">
        <v>63.69</v>
      </c>
      <c r="G33">
        <v>2161</v>
      </c>
      <c r="H33">
        <v>7.54</v>
      </c>
      <c r="I33">
        <v>0</v>
      </c>
      <c r="J33">
        <v>2009</v>
      </c>
      <c r="K33" t="s">
        <v>28</v>
      </c>
      <c r="L33" t="s">
        <v>15</v>
      </c>
      <c r="M33" t="str">
        <f t="shared" si="0"/>
        <v>No</v>
      </c>
    </row>
    <row r="34" spans="1:13" x14ac:dyDescent="0.3">
      <c r="A34" t="s">
        <v>59</v>
      </c>
      <c r="B34" t="s">
        <v>25</v>
      </c>
      <c r="C34">
        <v>5</v>
      </c>
      <c r="D34">
        <v>149.68</v>
      </c>
      <c r="E34">
        <v>740.7</v>
      </c>
      <c r="F34">
        <v>14.99</v>
      </c>
      <c r="G34">
        <v>3812</v>
      </c>
      <c r="H34">
        <v>2.36</v>
      </c>
      <c r="I34">
        <v>0</v>
      </c>
      <c r="J34">
        <v>2021</v>
      </c>
      <c r="K34" t="s">
        <v>14</v>
      </c>
      <c r="L34" t="s">
        <v>15</v>
      </c>
      <c r="M34" t="str">
        <f t="shared" si="0"/>
        <v>Yes</v>
      </c>
    </row>
    <row r="35" spans="1:13" x14ac:dyDescent="0.3">
      <c r="A35" t="s">
        <v>60</v>
      </c>
      <c r="B35" t="s">
        <v>25</v>
      </c>
      <c r="C35">
        <v>1</v>
      </c>
      <c r="D35">
        <v>20.62</v>
      </c>
      <c r="E35">
        <v>108.47</v>
      </c>
      <c r="F35">
        <v>69.569999999999993</v>
      </c>
      <c r="G35">
        <v>1306</v>
      </c>
      <c r="H35">
        <v>9.57</v>
      </c>
      <c r="I35">
        <v>0</v>
      </c>
      <c r="J35">
        <v>2013</v>
      </c>
      <c r="K35" t="s">
        <v>18</v>
      </c>
      <c r="L35" t="s">
        <v>15</v>
      </c>
      <c r="M35" t="str">
        <f t="shared" si="0"/>
        <v>Yes</v>
      </c>
    </row>
    <row r="36" spans="1:13" x14ac:dyDescent="0.3">
      <c r="A36" t="s">
        <v>61</v>
      </c>
      <c r="B36" t="s">
        <v>30</v>
      </c>
      <c r="C36">
        <v>2</v>
      </c>
      <c r="D36">
        <v>121.87</v>
      </c>
      <c r="E36">
        <v>1434.4</v>
      </c>
      <c r="F36">
        <v>74.62</v>
      </c>
      <c r="G36">
        <v>4168</v>
      </c>
      <c r="H36">
        <v>1.57</v>
      </c>
      <c r="I36">
        <v>1</v>
      </c>
      <c r="J36">
        <v>2006</v>
      </c>
      <c r="K36" t="s">
        <v>28</v>
      </c>
      <c r="L36" t="s">
        <v>15</v>
      </c>
      <c r="M36" t="str">
        <f t="shared" si="0"/>
        <v>No</v>
      </c>
    </row>
    <row r="37" spans="1:13" x14ac:dyDescent="0.3">
      <c r="A37" t="s">
        <v>62</v>
      </c>
      <c r="B37" t="s">
        <v>39</v>
      </c>
      <c r="C37">
        <v>1</v>
      </c>
      <c r="D37">
        <v>149.49</v>
      </c>
      <c r="E37">
        <v>728.61</v>
      </c>
      <c r="F37">
        <v>98.2</v>
      </c>
      <c r="G37">
        <v>3145</v>
      </c>
      <c r="H37">
        <v>6.83</v>
      </c>
      <c r="I37">
        <v>0</v>
      </c>
      <c r="J37">
        <v>1996</v>
      </c>
      <c r="K37" t="s">
        <v>18</v>
      </c>
      <c r="L37" t="s">
        <v>15</v>
      </c>
      <c r="M37" t="str">
        <f t="shared" si="0"/>
        <v>No</v>
      </c>
    </row>
    <row r="38" spans="1:13" x14ac:dyDescent="0.3">
      <c r="A38" t="s">
        <v>63</v>
      </c>
      <c r="B38" t="s">
        <v>21</v>
      </c>
      <c r="C38">
        <v>3</v>
      </c>
      <c r="D38">
        <v>216.2</v>
      </c>
      <c r="E38">
        <v>1257.1500000000001</v>
      </c>
      <c r="F38">
        <v>21.06</v>
      </c>
      <c r="G38">
        <v>3241</v>
      </c>
      <c r="H38">
        <v>2.33</v>
      </c>
      <c r="I38">
        <v>0</v>
      </c>
      <c r="J38">
        <v>1990</v>
      </c>
      <c r="K38" t="s">
        <v>14</v>
      </c>
      <c r="L38" t="s">
        <v>15</v>
      </c>
      <c r="M38" t="str">
        <f t="shared" si="0"/>
        <v>No</v>
      </c>
    </row>
    <row r="39" spans="1:13" x14ac:dyDescent="0.3">
      <c r="A39" t="s">
        <v>64</v>
      </c>
      <c r="B39" t="s">
        <v>13</v>
      </c>
      <c r="C39">
        <v>1</v>
      </c>
      <c r="D39">
        <v>32.42</v>
      </c>
      <c r="E39">
        <v>472.04</v>
      </c>
      <c r="F39">
        <v>82.53</v>
      </c>
      <c r="G39">
        <v>2357</v>
      </c>
      <c r="H39">
        <v>4.37</v>
      </c>
      <c r="I39">
        <v>0</v>
      </c>
      <c r="J39">
        <v>2021</v>
      </c>
      <c r="K39" t="s">
        <v>41</v>
      </c>
      <c r="L39" t="s">
        <v>15</v>
      </c>
      <c r="M39" t="str">
        <f t="shared" si="0"/>
        <v>Yes</v>
      </c>
    </row>
    <row r="40" spans="1:13" x14ac:dyDescent="0.3">
      <c r="A40" t="s">
        <v>65</v>
      </c>
      <c r="B40" t="s">
        <v>17</v>
      </c>
      <c r="C40">
        <v>5</v>
      </c>
      <c r="D40">
        <v>42.44</v>
      </c>
      <c r="E40">
        <v>257.33999999999997</v>
      </c>
      <c r="F40">
        <v>52.08</v>
      </c>
      <c r="G40">
        <v>1937</v>
      </c>
      <c r="H40">
        <v>7.22</v>
      </c>
      <c r="I40">
        <v>1</v>
      </c>
      <c r="J40">
        <v>2002</v>
      </c>
      <c r="K40" t="s">
        <v>41</v>
      </c>
      <c r="L40" t="s">
        <v>15</v>
      </c>
      <c r="M40" t="str">
        <f t="shared" si="0"/>
        <v>No</v>
      </c>
    </row>
    <row r="41" spans="1:13" x14ac:dyDescent="0.3">
      <c r="A41" t="s">
        <v>66</v>
      </c>
      <c r="B41" t="s">
        <v>34</v>
      </c>
      <c r="C41">
        <v>4</v>
      </c>
      <c r="D41">
        <v>79.47</v>
      </c>
      <c r="E41">
        <v>869.37</v>
      </c>
      <c r="F41">
        <v>37.409999999999997</v>
      </c>
      <c r="G41">
        <v>2726</v>
      </c>
      <c r="H41">
        <v>5.68</v>
      </c>
      <c r="I41">
        <v>1</v>
      </c>
      <c r="J41">
        <v>1995</v>
      </c>
      <c r="K41" t="s">
        <v>14</v>
      </c>
      <c r="L41" t="s">
        <v>23</v>
      </c>
      <c r="M41" t="str">
        <f t="shared" si="0"/>
        <v>No</v>
      </c>
    </row>
    <row r="42" spans="1:13" x14ac:dyDescent="0.3">
      <c r="A42" t="s">
        <v>67</v>
      </c>
      <c r="B42" t="s">
        <v>13</v>
      </c>
      <c r="C42">
        <v>1</v>
      </c>
      <c r="D42">
        <v>80.319999999999993</v>
      </c>
      <c r="E42">
        <v>1184.2</v>
      </c>
      <c r="F42">
        <v>12.33</v>
      </c>
      <c r="G42">
        <v>369</v>
      </c>
      <c r="H42">
        <v>4.33</v>
      </c>
      <c r="I42">
        <v>0</v>
      </c>
      <c r="J42">
        <v>2003</v>
      </c>
      <c r="K42" t="s">
        <v>18</v>
      </c>
      <c r="L42" t="s">
        <v>15</v>
      </c>
      <c r="M42" t="str">
        <f t="shared" si="0"/>
        <v>No</v>
      </c>
    </row>
    <row r="43" spans="1:13" x14ac:dyDescent="0.3">
      <c r="A43" t="s">
        <v>68</v>
      </c>
      <c r="B43" t="s">
        <v>34</v>
      </c>
      <c r="C43">
        <v>5</v>
      </c>
      <c r="D43">
        <v>219.79</v>
      </c>
      <c r="E43">
        <v>1646.57</v>
      </c>
      <c r="F43">
        <v>73.58</v>
      </c>
      <c r="G43">
        <v>4921</v>
      </c>
      <c r="H43">
        <v>3.33</v>
      </c>
      <c r="I43">
        <v>0</v>
      </c>
      <c r="J43">
        <v>2004</v>
      </c>
      <c r="K43" t="s">
        <v>28</v>
      </c>
      <c r="L43" t="s">
        <v>15</v>
      </c>
      <c r="M43" t="str">
        <f t="shared" si="0"/>
        <v>No</v>
      </c>
    </row>
    <row r="44" spans="1:13" x14ac:dyDescent="0.3">
      <c r="A44" t="s">
        <v>69</v>
      </c>
      <c r="B44" t="s">
        <v>30</v>
      </c>
      <c r="C44">
        <v>5</v>
      </c>
      <c r="D44">
        <v>75.59</v>
      </c>
      <c r="E44">
        <v>242.66</v>
      </c>
      <c r="F44">
        <v>23.66</v>
      </c>
      <c r="G44">
        <v>2395</v>
      </c>
      <c r="H44">
        <v>8.41</v>
      </c>
      <c r="I44">
        <v>1</v>
      </c>
      <c r="J44">
        <v>1993</v>
      </c>
      <c r="K44" t="s">
        <v>14</v>
      </c>
      <c r="L44" t="s">
        <v>15</v>
      </c>
      <c r="M44" t="str">
        <f t="shared" si="0"/>
        <v>No</v>
      </c>
    </row>
    <row r="45" spans="1:13" x14ac:dyDescent="0.3">
      <c r="A45" t="s">
        <v>70</v>
      </c>
      <c r="B45" t="s">
        <v>34</v>
      </c>
      <c r="C45">
        <v>3</v>
      </c>
      <c r="D45">
        <v>190.11</v>
      </c>
      <c r="E45">
        <v>1127.31</v>
      </c>
      <c r="F45">
        <v>37.21</v>
      </c>
      <c r="G45">
        <v>951</v>
      </c>
      <c r="H45">
        <v>1.52</v>
      </c>
      <c r="I45">
        <v>0</v>
      </c>
      <c r="J45">
        <v>2005</v>
      </c>
      <c r="K45" t="s">
        <v>32</v>
      </c>
      <c r="L45" t="s">
        <v>15</v>
      </c>
      <c r="M45" t="str">
        <f t="shared" si="0"/>
        <v>No</v>
      </c>
    </row>
    <row r="46" spans="1:13" x14ac:dyDescent="0.3">
      <c r="A46" t="s">
        <v>71</v>
      </c>
      <c r="B46" t="s">
        <v>25</v>
      </c>
      <c r="C46">
        <v>5</v>
      </c>
      <c r="D46">
        <v>148.54</v>
      </c>
      <c r="E46">
        <v>1926.64</v>
      </c>
      <c r="F46">
        <v>6.35</v>
      </c>
      <c r="G46">
        <v>1382</v>
      </c>
      <c r="H46">
        <v>4.3600000000000003</v>
      </c>
      <c r="I46">
        <v>0</v>
      </c>
      <c r="J46">
        <v>2017</v>
      </c>
      <c r="K46" t="s">
        <v>18</v>
      </c>
      <c r="L46" t="s">
        <v>15</v>
      </c>
      <c r="M46" t="str">
        <f t="shared" si="0"/>
        <v>Yes</v>
      </c>
    </row>
    <row r="47" spans="1:13" x14ac:dyDescent="0.3">
      <c r="A47" t="s">
        <v>72</v>
      </c>
      <c r="B47" t="s">
        <v>21</v>
      </c>
      <c r="C47">
        <v>5</v>
      </c>
      <c r="D47">
        <v>172.2</v>
      </c>
      <c r="E47">
        <v>2303.23</v>
      </c>
      <c r="F47">
        <v>80.16</v>
      </c>
      <c r="G47">
        <v>1444</v>
      </c>
      <c r="H47">
        <v>9.0500000000000007</v>
      </c>
      <c r="I47">
        <v>1</v>
      </c>
      <c r="J47">
        <v>2005</v>
      </c>
      <c r="K47" t="s">
        <v>41</v>
      </c>
      <c r="L47" t="s">
        <v>15</v>
      </c>
      <c r="M47" t="str">
        <f t="shared" si="0"/>
        <v>No</v>
      </c>
    </row>
    <row r="48" spans="1:13" x14ac:dyDescent="0.3">
      <c r="A48" t="s">
        <v>73</v>
      </c>
      <c r="B48" t="s">
        <v>17</v>
      </c>
      <c r="C48">
        <v>5</v>
      </c>
      <c r="D48">
        <v>251.51</v>
      </c>
      <c r="E48">
        <v>3074.01</v>
      </c>
      <c r="F48">
        <v>76.680000000000007</v>
      </c>
      <c r="G48">
        <v>3185</v>
      </c>
      <c r="H48">
        <v>8.4700000000000006</v>
      </c>
      <c r="I48">
        <v>1</v>
      </c>
      <c r="J48">
        <v>1993</v>
      </c>
      <c r="K48" t="s">
        <v>14</v>
      </c>
      <c r="L48" t="s">
        <v>26</v>
      </c>
      <c r="M48" t="str">
        <f t="shared" si="0"/>
        <v>No</v>
      </c>
    </row>
    <row r="49" spans="1:13" x14ac:dyDescent="0.3">
      <c r="A49" t="s">
        <v>74</v>
      </c>
      <c r="B49" t="s">
        <v>75</v>
      </c>
      <c r="C49">
        <v>5</v>
      </c>
      <c r="D49">
        <v>121.61</v>
      </c>
      <c r="E49">
        <v>529.89</v>
      </c>
      <c r="F49">
        <v>73.39</v>
      </c>
      <c r="G49">
        <v>4862</v>
      </c>
      <c r="H49">
        <v>4.07</v>
      </c>
      <c r="I49">
        <v>0</v>
      </c>
      <c r="J49">
        <v>2015</v>
      </c>
      <c r="K49" t="s">
        <v>41</v>
      </c>
      <c r="L49" t="s">
        <v>15</v>
      </c>
      <c r="M49" t="str">
        <f t="shared" si="0"/>
        <v>Yes</v>
      </c>
    </row>
    <row r="50" spans="1:13" x14ac:dyDescent="0.3">
      <c r="A50" t="s">
        <v>76</v>
      </c>
      <c r="B50" t="s">
        <v>34</v>
      </c>
      <c r="C50">
        <v>2</v>
      </c>
      <c r="D50">
        <v>231.39</v>
      </c>
      <c r="E50">
        <v>2903.05</v>
      </c>
      <c r="F50">
        <v>30.01</v>
      </c>
      <c r="G50">
        <v>345</v>
      </c>
      <c r="H50">
        <v>7.65</v>
      </c>
      <c r="I50">
        <v>1</v>
      </c>
      <c r="J50">
        <v>2017</v>
      </c>
      <c r="K50" t="s">
        <v>18</v>
      </c>
      <c r="L50" t="s">
        <v>15</v>
      </c>
      <c r="M50" t="str">
        <f t="shared" si="0"/>
        <v>Yes</v>
      </c>
    </row>
    <row r="51" spans="1:13" x14ac:dyDescent="0.3">
      <c r="A51" t="s">
        <v>77</v>
      </c>
      <c r="B51" t="s">
        <v>13</v>
      </c>
      <c r="C51">
        <v>2</v>
      </c>
      <c r="D51">
        <v>126.9</v>
      </c>
      <c r="E51">
        <v>1779.66</v>
      </c>
      <c r="F51">
        <v>17.43</v>
      </c>
      <c r="G51">
        <v>2994</v>
      </c>
      <c r="H51">
        <v>8.25</v>
      </c>
      <c r="I51">
        <v>1</v>
      </c>
      <c r="J51">
        <v>2021</v>
      </c>
      <c r="K51" t="s">
        <v>41</v>
      </c>
      <c r="L51" t="s">
        <v>15</v>
      </c>
      <c r="M51" t="str">
        <f t="shared" si="0"/>
        <v>Yes</v>
      </c>
    </row>
    <row r="52" spans="1:13" x14ac:dyDescent="0.3">
      <c r="A52" t="s">
        <v>78</v>
      </c>
      <c r="B52" t="s">
        <v>25</v>
      </c>
      <c r="C52">
        <v>3</v>
      </c>
      <c r="D52">
        <v>106.48</v>
      </c>
      <c r="E52">
        <v>1086.8699999999999</v>
      </c>
      <c r="F52">
        <v>63.79</v>
      </c>
      <c r="G52">
        <v>387</v>
      </c>
      <c r="H52">
        <v>8.9</v>
      </c>
      <c r="I52">
        <v>0</v>
      </c>
      <c r="J52">
        <v>1991</v>
      </c>
      <c r="K52" t="s">
        <v>14</v>
      </c>
      <c r="L52" t="s">
        <v>23</v>
      </c>
      <c r="M52" t="str">
        <f t="shared" si="0"/>
        <v>No</v>
      </c>
    </row>
    <row r="53" spans="1:13" x14ac:dyDescent="0.3">
      <c r="A53" t="s">
        <v>79</v>
      </c>
      <c r="B53" t="s">
        <v>75</v>
      </c>
      <c r="C53">
        <v>1</v>
      </c>
      <c r="D53">
        <v>287.61</v>
      </c>
      <c r="E53">
        <v>4110.09</v>
      </c>
      <c r="F53">
        <v>49.67</v>
      </c>
      <c r="G53">
        <v>1561</v>
      </c>
      <c r="H53">
        <v>5.49</v>
      </c>
      <c r="I53">
        <v>1</v>
      </c>
      <c r="J53">
        <v>2020</v>
      </c>
      <c r="K53" t="s">
        <v>18</v>
      </c>
      <c r="L53" t="s">
        <v>15</v>
      </c>
      <c r="M53" t="str">
        <f t="shared" si="0"/>
        <v>Yes</v>
      </c>
    </row>
    <row r="54" spans="1:13" x14ac:dyDescent="0.3">
      <c r="A54" t="s">
        <v>80</v>
      </c>
      <c r="B54" t="s">
        <v>17</v>
      </c>
      <c r="C54">
        <v>5</v>
      </c>
      <c r="D54">
        <v>55.72</v>
      </c>
      <c r="E54">
        <v>720.02</v>
      </c>
      <c r="F54">
        <v>17.91</v>
      </c>
      <c r="G54">
        <v>304</v>
      </c>
      <c r="H54">
        <v>2.12</v>
      </c>
      <c r="I54">
        <v>1</v>
      </c>
      <c r="J54">
        <v>1992</v>
      </c>
      <c r="K54" t="s">
        <v>32</v>
      </c>
      <c r="L54" t="s">
        <v>15</v>
      </c>
      <c r="M54" t="str">
        <f t="shared" si="0"/>
        <v>No</v>
      </c>
    </row>
    <row r="55" spans="1:13" x14ac:dyDescent="0.3">
      <c r="A55" t="s">
        <v>81</v>
      </c>
      <c r="B55" t="s">
        <v>75</v>
      </c>
      <c r="C55">
        <v>1</v>
      </c>
      <c r="D55">
        <v>27.56</v>
      </c>
      <c r="E55">
        <v>303.26</v>
      </c>
      <c r="F55">
        <v>68.62</v>
      </c>
      <c r="G55">
        <v>143</v>
      </c>
      <c r="H55">
        <v>2.63</v>
      </c>
      <c r="I55">
        <v>1</v>
      </c>
      <c r="J55">
        <v>1997</v>
      </c>
      <c r="K55" t="s">
        <v>14</v>
      </c>
      <c r="L55" t="s">
        <v>23</v>
      </c>
      <c r="M55" t="str">
        <f t="shared" si="0"/>
        <v>No</v>
      </c>
    </row>
    <row r="56" spans="1:13" x14ac:dyDescent="0.3">
      <c r="A56" t="s">
        <v>82</v>
      </c>
      <c r="B56" t="s">
        <v>25</v>
      </c>
      <c r="C56">
        <v>1</v>
      </c>
      <c r="D56">
        <v>231.41</v>
      </c>
      <c r="E56">
        <v>2297.0300000000002</v>
      </c>
      <c r="F56">
        <v>99.11</v>
      </c>
      <c r="G56">
        <v>363</v>
      </c>
      <c r="H56">
        <v>3.03</v>
      </c>
      <c r="I56">
        <v>1</v>
      </c>
      <c r="J56">
        <v>2013</v>
      </c>
      <c r="K56" t="s">
        <v>28</v>
      </c>
      <c r="L56" t="s">
        <v>15</v>
      </c>
      <c r="M56" t="str">
        <f t="shared" si="0"/>
        <v>Yes</v>
      </c>
    </row>
    <row r="57" spans="1:13" x14ac:dyDescent="0.3">
      <c r="A57" t="s">
        <v>83</v>
      </c>
      <c r="B57" t="s">
        <v>21</v>
      </c>
      <c r="C57">
        <v>3</v>
      </c>
      <c r="D57">
        <v>20.94</v>
      </c>
      <c r="E57">
        <v>150.41</v>
      </c>
      <c r="F57">
        <v>74.75</v>
      </c>
      <c r="G57">
        <v>4936</v>
      </c>
      <c r="H57">
        <v>5.98</v>
      </c>
      <c r="I57">
        <v>0</v>
      </c>
      <c r="J57">
        <v>2004</v>
      </c>
      <c r="K57" t="s">
        <v>14</v>
      </c>
      <c r="L57" t="s">
        <v>26</v>
      </c>
      <c r="M57" t="str">
        <f t="shared" si="0"/>
        <v>No</v>
      </c>
    </row>
    <row r="58" spans="1:13" x14ac:dyDescent="0.3">
      <c r="A58" t="s">
        <v>84</v>
      </c>
      <c r="B58" t="s">
        <v>21</v>
      </c>
      <c r="C58">
        <v>5</v>
      </c>
      <c r="D58">
        <v>251.21</v>
      </c>
      <c r="E58">
        <v>1233.81</v>
      </c>
      <c r="F58">
        <v>74.02</v>
      </c>
      <c r="G58">
        <v>1527</v>
      </c>
      <c r="H58">
        <v>0.42</v>
      </c>
      <c r="I58">
        <v>0</v>
      </c>
      <c r="J58">
        <v>2020</v>
      </c>
      <c r="K58" t="s">
        <v>18</v>
      </c>
      <c r="L58" t="s">
        <v>15</v>
      </c>
      <c r="M58" t="str">
        <f t="shared" si="0"/>
        <v>Yes</v>
      </c>
    </row>
    <row r="59" spans="1:13" x14ac:dyDescent="0.3">
      <c r="A59" t="s">
        <v>85</v>
      </c>
      <c r="B59" t="s">
        <v>39</v>
      </c>
      <c r="C59">
        <v>5</v>
      </c>
      <c r="D59">
        <v>131.44</v>
      </c>
      <c r="E59">
        <v>1348.5</v>
      </c>
      <c r="F59">
        <v>95.04</v>
      </c>
      <c r="G59">
        <v>3461</v>
      </c>
      <c r="H59">
        <v>6.4</v>
      </c>
      <c r="I59">
        <v>0</v>
      </c>
      <c r="J59">
        <v>1998</v>
      </c>
      <c r="K59" t="s">
        <v>14</v>
      </c>
      <c r="L59" t="s">
        <v>15</v>
      </c>
      <c r="M59" t="str">
        <f t="shared" si="0"/>
        <v>No</v>
      </c>
    </row>
    <row r="60" spans="1:13" x14ac:dyDescent="0.3">
      <c r="A60" t="s">
        <v>86</v>
      </c>
      <c r="B60" t="s">
        <v>21</v>
      </c>
      <c r="C60">
        <v>4</v>
      </c>
      <c r="D60">
        <v>274.7</v>
      </c>
      <c r="E60">
        <v>1872.72</v>
      </c>
      <c r="F60">
        <v>20.37</v>
      </c>
      <c r="G60">
        <v>1632</v>
      </c>
      <c r="H60">
        <v>3.71</v>
      </c>
      <c r="I60">
        <v>0</v>
      </c>
      <c r="J60">
        <v>1991</v>
      </c>
      <c r="K60" t="s">
        <v>32</v>
      </c>
      <c r="L60" t="s">
        <v>15</v>
      </c>
      <c r="M60" t="str">
        <f t="shared" si="0"/>
        <v>No</v>
      </c>
    </row>
    <row r="61" spans="1:13" x14ac:dyDescent="0.3">
      <c r="A61" t="s">
        <v>87</v>
      </c>
      <c r="B61" t="s">
        <v>39</v>
      </c>
      <c r="C61">
        <v>1</v>
      </c>
      <c r="D61">
        <v>216.6</v>
      </c>
      <c r="E61">
        <v>2901.85</v>
      </c>
      <c r="F61">
        <v>56.6</v>
      </c>
      <c r="G61">
        <v>1308</v>
      </c>
      <c r="H61">
        <v>3.02</v>
      </c>
      <c r="I61">
        <v>0</v>
      </c>
      <c r="J61">
        <v>1997</v>
      </c>
      <c r="K61" t="s">
        <v>32</v>
      </c>
      <c r="L61" t="s">
        <v>23</v>
      </c>
      <c r="M61" t="str">
        <f t="shared" si="0"/>
        <v>No</v>
      </c>
    </row>
    <row r="62" spans="1:13" x14ac:dyDescent="0.3">
      <c r="A62" t="s">
        <v>88</v>
      </c>
      <c r="B62" t="s">
        <v>75</v>
      </c>
      <c r="C62">
        <v>1</v>
      </c>
      <c r="D62">
        <v>183.32</v>
      </c>
      <c r="E62">
        <v>2735.14</v>
      </c>
      <c r="F62">
        <v>97.97</v>
      </c>
      <c r="G62">
        <v>1139</v>
      </c>
      <c r="H62">
        <v>8.81</v>
      </c>
      <c r="I62">
        <v>1</v>
      </c>
      <c r="J62">
        <v>1996</v>
      </c>
      <c r="K62" t="s">
        <v>28</v>
      </c>
      <c r="L62" t="s">
        <v>15</v>
      </c>
      <c r="M62" t="str">
        <f t="shared" si="0"/>
        <v>No</v>
      </c>
    </row>
    <row r="63" spans="1:13" x14ac:dyDescent="0.3">
      <c r="A63" t="s">
        <v>89</v>
      </c>
      <c r="B63" t="s">
        <v>30</v>
      </c>
      <c r="C63">
        <v>2</v>
      </c>
      <c r="D63">
        <v>284.82</v>
      </c>
      <c r="E63">
        <v>3426.14</v>
      </c>
      <c r="F63">
        <v>16.61</v>
      </c>
      <c r="G63">
        <v>2191</v>
      </c>
      <c r="H63">
        <v>4.6500000000000004</v>
      </c>
      <c r="I63">
        <v>1</v>
      </c>
      <c r="J63">
        <v>2005</v>
      </c>
      <c r="K63" t="s">
        <v>41</v>
      </c>
      <c r="L63" t="s">
        <v>26</v>
      </c>
      <c r="M63" t="str">
        <f t="shared" si="0"/>
        <v>No</v>
      </c>
    </row>
    <row r="64" spans="1:13" x14ac:dyDescent="0.3">
      <c r="A64" t="s">
        <v>90</v>
      </c>
      <c r="B64" t="s">
        <v>13</v>
      </c>
      <c r="C64">
        <v>4</v>
      </c>
      <c r="D64">
        <v>119.3</v>
      </c>
      <c r="E64">
        <v>487.43</v>
      </c>
      <c r="F64">
        <v>70.06</v>
      </c>
      <c r="G64">
        <v>3175</v>
      </c>
      <c r="H64">
        <v>1.04</v>
      </c>
      <c r="I64">
        <v>1</v>
      </c>
      <c r="J64">
        <v>2019</v>
      </c>
      <c r="K64" t="s">
        <v>18</v>
      </c>
      <c r="L64" t="s">
        <v>26</v>
      </c>
      <c r="M64" t="str">
        <f t="shared" si="0"/>
        <v>Yes</v>
      </c>
    </row>
    <row r="65" spans="1:13" x14ac:dyDescent="0.3">
      <c r="A65" t="s">
        <v>91</v>
      </c>
      <c r="B65" t="s">
        <v>13</v>
      </c>
      <c r="C65">
        <v>2</v>
      </c>
      <c r="D65">
        <v>286.25</v>
      </c>
      <c r="E65">
        <v>1850.39</v>
      </c>
      <c r="F65">
        <v>58.62</v>
      </c>
      <c r="G65">
        <v>3840</v>
      </c>
      <c r="H65">
        <v>8.2799999999999994</v>
      </c>
      <c r="I65">
        <v>1</v>
      </c>
      <c r="J65">
        <v>1999</v>
      </c>
      <c r="K65" t="s">
        <v>18</v>
      </c>
      <c r="L65" t="s">
        <v>23</v>
      </c>
      <c r="M65" t="str">
        <f t="shared" si="0"/>
        <v>No</v>
      </c>
    </row>
    <row r="66" spans="1:13" x14ac:dyDescent="0.3">
      <c r="A66" t="s">
        <v>92</v>
      </c>
      <c r="B66" t="s">
        <v>75</v>
      </c>
      <c r="C66">
        <v>2</v>
      </c>
      <c r="D66">
        <v>40.93</v>
      </c>
      <c r="E66">
        <v>176.38</v>
      </c>
      <c r="F66">
        <v>58.69</v>
      </c>
      <c r="G66">
        <v>2156</v>
      </c>
      <c r="H66">
        <v>0.56999999999999995</v>
      </c>
      <c r="I66">
        <v>1</v>
      </c>
      <c r="J66">
        <v>2007</v>
      </c>
      <c r="K66" t="s">
        <v>41</v>
      </c>
      <c r="L66" t="s">
        <v>23</v>
      </c>
      <c r="M66" t="str">
        <f t="shared" si="0"/>
        <v>No</v>
      </c>
    </row>
    <row r="67" spans="1:13" x14ac:dyDescent="0.3">
      <c r="A67" t="s">
        <v>93</v>
      </c>
      <c r="B67" t="s">
        <v>34</v>
      </c>
      <c r="C67">
        <v>2</v>
      </c>
      <c r="D67">
        <v>145.38</v>
      </c>
      <c r="E67">
        <v>1571</v>
      </c>
      <c r="F67">
        <v>69.8</v>
      </c>
      <c r="G67">
        <v>1242</v>
      </c>
      <c r="H67">
        <v>7.29</v>
      </c>
      <c r="I67">
        <v>0</v>
      </c>
      <c r="J67">
        <v>1994</v>
      </c>
      <c r="K67" t="s">
        <v>32</v>
      </c>
      <c r="L67" t="s">
        <v>15</v>
      </c>
      <c r="M67" t="str">
        <f t="shared" ref="M67:M130" si="1">IF(J67&gt;2010,"Yes","No")</f>
        <v>No</v>
      </c>
    </row>
    <row r="68" spans="1:13" x14ac:dyDescent="0.3">
      <c r="A68" t="s">
        <v>94</v>
      </c>
      <c r="B68" t="s">
        <v>34</v>
      </c>
      <c r="C68">
        <v>3</v>
      </c>
      <c r="D68">
        <v>81.34</v>
      </c>
      <c r="E68">
        <v>990.91</v>
      </c>
      <c r="F68">
        <v>92.97</v>
      </c>
      <c r="G68">
        <v>3740</v>
      </c>
      <c r="H68">
        <v>7.76</v>
      </c>
      <c r="I68">
        <v>0</v>
      </c>
      <c r="J68">
        <v>2018</v>
      </c>
      <c r="K68" t="s">
        <v>32</v>
      </c>
      <c r="L68" t="s">
        <v>26</v>
      </c>
      <c r="M68" t="str">
        <f t="shared" si="1"/>
        <v>Yes</v>
      </c>
    </row>
    <row r="69" spans="1:13" x14ac:dyDescent="0.3">
      <c r="A69" t="s">
        <v>95</v>
      </c>
      <c r="B69" t="s">
        <v>21</v>
      </c>
      <c r="C69">
        <v>3</v>
      </c>
      <c r="D69">
        <v>162.18</v>
      </c>
      <c r="E69">
        <v>2288.0500000000002</v>
      </c>
      <c r="F69">
        <v>78.28</v>
      </c>
      <c r="G69">
        <v>2839</v>
      </c>
      <c r="H69">
        <v>3.59</v>
      </c>
      <c r="I69">
        <v>0</v>
      </c>
      <c r="J69">
        <v>2012</v>
      </c>
      <c r="K69" t="s">
        <v>14</v>
      </c>
      <c r="L69" t="s">
        <v>15</v>
      </c>
      <c r="M69" t="str">
        <f t="shared" si="1"/>
        <v>Yes</v>
      </c>
    </row>
    <row r="70" spans="1:13" x14ac:dyDescent="0.3">
      <c r="A70" t="s">
        <v>96</v>
      </c>
      <c r="B70" t="s">
        <v>13</v>
      </c>
      <c r="C70">
        <v>2</v>
      </c>
      <c r="D70">
        <v>49.02</v>
      </c>
      <c r="E70">
        <v>404.81</v>
      </c>
      <c r="F70">
        <v>5.71</v>
      </c>
      <c r="G70">
        <v>4265</v>
      </c>
      <c r="H70">
        <v>8.27</v>
      </c>
      <c r="I70">
        <v>1</v>
      </c>
      <c r="J70">
        <v>1994</v>
      </c>
      <c r="K70" t="s">
        <v>28</v>
      </c>
      <c r="L70" t="s">
        <v>15</v>
      </c>
      <c r="M70" t="str">
        <f t="shared" si="1"/>
        <v>No</v>
      </c>
    </row>
    <row r="71" spans="1:13" x14ac:dyDescent="0.3">
      <c r="A71" t="s">
        <v>97</v>
      </c>
      <c r="B71" t="s">
        <v>13</v>
      </c>
      <c r="C71">
        <v>4</v>
      </c>
      <c r="D71">
        <v>252.54</v>
      </c>
      <c r="E71">
        <v>3489.22</v>
      </c>
      <c r="F71">
        <v>85.29</v>
      </c>
      <c r="G71">
        <v>1003</v>
      </c>
      <c r="H71">
        <v>5.21</v>
      </c>
      <c r="I71">
        <v>0</v>
      </c>
      <c r="J71">
        <v>2019</v>
      </c>
      <c r="K71" t="s">
        <v>28</v>
      </c>
      <c r="L71" t="s">
        <v>15</v>
      </c>
      <c r="M71" t="str">
        <f t="shared" si="1"/>
        <v>Yes</v>
      </c>
    </row>
    <row r="72" spans="1:13" x14ac:dyDescent="0.3">
      <c r="A72" t="s">
        <v>98</v>
      </c>
      <c r="B72" t="s">
        <v>39</v>
      </c>
      <c r="C72">
        <v>1</v>
      </c>
      <c r="D72">
        <v>254</v>
      </c>
      <c r="E72">
        <v>3437.81</v>
      </c>
      <c r="F72">
        <v>22.63</v>
      </c>
      <c r="G72">
        <v>2572</v>
      </c>
      <c r="H72">
        <v>4.6900000000000004</v>
      </c>
      <c r="I72">
        <v>1</v>
      </c>
      <c r="J72">
        <v>1995</v>
      </c>
      <c r="K72" t="s">
        <v>28</v>
      </c>
      <c r="L72" t="s">
        <v>15</v>
      </c>
      <c r="M72" t="str">
        <f t="shared" si="1"/>
        <v>No</v>
      </c>
    </row>
    <row r="73" spans="1:13" x14ac:dyDescent="0.3">
      <c r="A73" t="s">
        <v>99</v>
      </c>
      <c r="B73" t="s">
        <v>30</v>
      </c>
      <c r="C73">
        <v>4</v>
      </c>
      <c r="D73">
        <v>286.58999999999997</v>
      </c>
      <c r="E73">
        <v>1950.63</v>
      </c>
      <c r="F73">
        <v>37.75</v>
      </c>
      <c r="G73">
        <v>1312</v>
      </c>
      <c r="H73">
        <v>0.55000000000000004</v>
      </c>
      <c r="I73">
        <v>0</v>
      </c>
      <c r="J73">
        <v>1993</v>
      </c>
      <c r="K73" t="s">
        <v>14</v>
      </c>
      <c r="L73" t="s">
        <v>15</v>
      </c>
      <c r="M73" t="str">
        <f t="shared" si="1"/>
        <v>No</v>
      </c>
    </row>
    <row r="74" spans="1:13" x14ac:dyDescent="0.3">
      <c r="A74" t="s">
        <v>100</v>
      </c>
      <c r="B74" t="s">
        <v>25</v>
      </c>
      <c r="C74">
        <v>5</v>
      </c>
      <c r="D74">
        <v>46.82</v>
      </c>
      <c r="E74">
        <v>628.64</v>
      </c>
      <c r="F74">
        <v>46.23</v>
      </c>
      <c r="G74">
        <v>661</v>
      </c>
      <c r="H74">
        <v>2.97</v>
      </c>
      <c r="I74">
        <v>1</v>
      </c>
      <c r="J74">
        <v>2018</v>
      </c>
      <c r="K74" t="s">
        <v>28</v>
      </c>
      <c r="L74" t="s">
        <v>15</v>
      </c>
      <c r="M74" t="str">
        <f t="shared" si="1"/>
        <v>Yes</v>
      </c>
    </row>
    <row r="75" spans="1:13" x14ac:dyDescent="0.3">
      <c r="A75" t="s">
        <v>101</v>
      </c>
      <c r="B75" t="s">
        <v>34</v>
      </c>
      <c r="C75">
        <v>3</v>
      </c>
      <c r="D75">
        <v>187.19</v>
      </c>
      <c r="E75">
        <v>1405.44</v>
      </c>
      <c r="F75">
        <v>48.14</v>
      </c>
      <c r="G75">
        <v>2665</v>
      </c>
      <c r="H75">
        <v>9.32</v>
      </c>
      <c r="I75">
        <v>1</v>
      </c>
      <c r="J75">
        <v>2012</v>
      </c>
      <c r="K75" t="s">
        <v>41</v>
      </c>
      <c r="L75" t="s">
        <v>23</v>
      </c>
      <c r="M75" t="str">
        <f t="shared" si="1"/>
        <v>Yes</v>
      </c>
    </row>
    <row r="76" spans="1:13" x14ac:dyDescent="0.3">
      <c r="A76" t="s">
        <v>102</v>
      </c>
      <c r="B76" t="s">
        <v>13</v>
      </c>
      <c r="C76">
        <v>1</v>
      </c>
      <c r="D76">
        <v>142.53</v>
      </c>
      <c r="E76">
        <v>935.34</v>
      </c>
      <c r="F76">
        <v>43.57</v>
      </c>
      <c r="G76">
        <v>2216</v>
      </c>
      <c r="H76">
        <v>3.98</v>
      </c>
      <c r="I76">
        <v>1</v>
      </c>
      <c r="J76">
        <v>1995</v>
      </c>
      <c r="K76" t="s">
        <v>14</v>
      </c>
      <c r="L76" t="s">
        <v>15</v>
      </c>
      <c r="M76" t="str">
        <f t="shared" si="1"/>
        <v>No</v>
      </c>
    </row>
    <row r="77" spans="1:13" x14ac:dyDescent="0.3">
      <c r="A77" t="s">
        <v>103</v>
      </c>
      <c r="B77" t="s">
        <v>39</v>
      </c>
      <c r="C77">
        <v>1</v>
      </c>
      <c r="D77">
        <v>103.64</v>
      </c>
      <c r="E77">
        <v>1118.1600000000001</v>
      </c>
      <c r="F77">
        <v>93.74</v>
      </c>
      <c r="G77">
        <v>1914</v>
      </c>
      <c r="H77">
        <v>5.51</v>
      </c>
      <c r="I77">
        <v>1</v>
      </c>
      <c r="J77">
        <v>2021</v>
      </c>
      <c r="K77" t="s">
        <v>41</v>
      </c>
      <c r="L77" t="s">
        <v>23</v>
      </c>
      <c r="M77" t="str">
        <f t="shared" si="1"/>
        <v>Yes</v>
      </c>
    </row>
    <row r="78" spans="1:13" x14ac:dyDescent="0.3">
      <c r="A78" t="s">
        <v>104</v>
      </c>
      <c r="B78" t="s">
        <v>17</v>
      </c>
      <c r="C78">
        <v>5</v>
      </c>
      <c r="D78">
        <v>105.79</v>
      </c>
      <c r="E78">
        <v>734.24</v>
      </c>
      <c r="F78">
        <v>70.63</v>
      </c>
      <c r="G78">
        <v>3735</v>
      </c>
      <c r="H78">
        <v>5.37</v>
      </c>
      <c r="I78">
        <v>1</v>
      </c>
      <c r="J78">
        <v>2007</v>
      </c>
      <c r="K78" t="s">
        <v>14</v>
      </c>
      <c r="L78" t="s">
        <v>26</v>
      </c>
      <c r="M78" t="str">
        <f t="shared" si="1"/>
        <v>No</v>
      </c>
    </row>
    <row r="79" spans="1:13" x14ac:dyDescent="0.3">
      <c r="A79" t="s">
        <v>105</v>
      </c>
      <c r="B79" t="s">
        <v>39</v>
      </c>
      <c r="C79">
        <v>5</v>
      </c>
      <c r="D79">
        <v>124.13</v>
      </c>
      <c r="E79">
        <v>1311.12</v>
      </c>
      <c r="F79">
        <v>63.15</v>
      </c>
      <c r="G79">
        <v>2051</v>
      </c>
      <c r="H79">
        <v>5.95</v>
      </c>
      <c r="I79">
        <v>1</v>
      </c>
      <c r="J79">
        <v>2004</v>
      </c>
      <c r="K79" t="s">
        <v>28</v>
      </c>
      <c r="L79" t="s">
        <v>26</v>
      </c>
      <c r="M79" t="str">
        <f t="shared" si="1"/>
        <v>No</v>
      </c>
    </row>
    <row r="80" spans="1:13" x14ac:dyDescent="0.3">
      <c r="A80" t="s">
        <v>106</v>
      </c>
      <c r="B80" t="s">
        <v>34</v>
      </c>
      <c r="C80">
        <v>2</v>
      </c>
      <c r="D80">
        <v>211.63</v>
      </c>
      <c r="E80">
        <v>2183.59</v>
      </c>
      <c r="F80">
        <v>5.08</v>
      </c>
      <c r="G80">
        <v>3167</v>
      </c>
      <c r="H80">
        <v>0.71</v>
      </c>
      <c r="I80">
        <v>1</v>
      </c>
      <c r="J80">
        <v>2021</v>
      </c>
      <c r="K80" t="s">
        <v>41</v>
      </c>
      <c r="L80" t="s">
        <v>15</v>
      </c>
      <c r="M80" t="str">
        <f t="shared" si="1"/>
        <v>Yes</v>
      </c>
    </row>
    <row r="81" spans="1:13" x14ac:dyDescent="0.3">
      <c r="A81" t="s">
        <v>107</v>
      </c>
      <c r="B81" t="s">
        <v>34</v>
      </c>
      <c r="C81">
        <v>3</v>
      </c>
      <c r="D81">
        <v>179.69</v>
      </c>
      <c r="E81">
        <v>1754</v>
      </c>
      <c r="F81">
        <v>90.4</v>
      </c>
      <c r="G81">
        <v>1145</v>
      </c>
      <c r="H81">
        <v>3.69</v>
      </c>
      <c r="I81">
        <v>1</v>
      </c>
      <c r="J81">
        <v>1998</v>
      </c>
      <c r="K81" t="s">
        <v>41</v>
      </c>
      <c r="L81" t="s">
        <v>23</v>
      </c>
      <c r="M81" t="str">
        <f t="shared" si="1"/>
        <v>No</v>
      </c>
    </row>
    <row r="82" spans="1:13" x14ac:dyDescent="0.3">
      <c r="A82" t="s">
        <v>108</v>
      </c>
      <c r="B82" t="s">
        <v>39</v>
      </c>
      <c r="C82">
        <v>3</v>
      </c>
      <c r="D82">
        <v>138.16999999999999</v>
      </c>
      <c r="E82">
        <v>1045.26</v>
      </c>
      <c r="F82">
        <v>90.95</v>
      </c>
      <c r="G82">
        <v>271</v>
      </c>
      <c r="H82">
        <v>7.26</v>
      </c>
      <c r="I82">
        <v>1</v>
      </c>
      <c r="J82">
        <v>1999</v>
      </c>
      <c r="K82" t="s">
        <v>41</v>
      </c>
      <c r="L82" t="s">
        <v>15</v>
      </c>
      <c r="M82" t="str">
        <f t="shared" si="1"/>
        <v>No</v>
      </c>
    </row>
    <row r="83" spans="1:13" x14ac:dyDescent="0.3">
      <c r="A83" t="s">
        <v>109</v>
      </c>
      <c r="B83" t="s">
        <v>25</v>
      </c>
      <c r="C83">
        <v>4</v>
      </c>
      <c r="D83">
        <v>23.24</v>
      </c>
      <c r="E83">
        <v>222.69</v>
      </c>
      <c r="F83">
        <v>78.040000000000006</v>
      </c>
      <c r="G83">
        <v>1850</v>
      </c>
      <c r="H83">
        <v>2.09</v>
      </c>
      <c r="I83">
        <v>0</v>
      </c>
      <c r="J83">
        <v>2009</v>
      </c>
      <c r="K83" t="s">
        <v>14</v>
      </c>
      <c r="L83" t="s">
        <v>23</v>
      </c>
      <c r="M83" t="str">
        <f t="shared" si="1"/>
        <v>No</v>
      </c>
    </row>
    <row r="84" spans="1:13" x14ac:dyDescent="0.3">
      <c r="A84" t="s">
        <v>110</v>
      </c>
      <c r="B84" t="s">
        <v>75</v>
      </c>
      <c r="C84">
        <v>2</v>
      </c>
      <c r="D84">
        <v>23.79</v>
      </c>
      <c r="E84">
        <v>241.65</v>
      </c>
      <c r="F84">
        <v>0.8</v>
      </c>
      <c r="G84">
        <v>1713</v>
      </c>
      <c r="H84">
        <v>2.12</v>
      </c>
      <c r="I84">
        <v>0</v>
      </c>
      <c r="J84">
        <v>1995</v>
      </c>
      <c r="K84" t="s">
        <v>18</v>
      </c>
      <c r="L84" t="s">
        <v>15</v>
      </c>
      <c r="M84" t="str">
        <f t="shared" si="1"/>
        <v>No</v>
      </c>
    </row>
    <row r="85" spans="1:13" x14ac:dyDescent="0.3">
      <c r="A85" t="s">
        <v>111</v>
      </c>
      <c r="B85" t="s">
        <v>34</v>
      </c>
      <c r="C85">
        <v>2</v>
      </c>
      <c r="D85">
        <v>1.2</v>
      </c>
      <c r="E85">
        <v>11.46</v>
      </c>
      <c r="F85">
        <v>5.82</v>
      </c>
      <c r="G85">
        <v>3635</v>
      </c>
      <c r="H85">
        <v>0.2</v>
      </c>
      <c r="I85">
        <v>0</v>
      </c>
      <c r="J85">
        <v>1992</v>
      </c>
      <c r="K85" t="s">
        <v>28</v>
      </c>
      <c r="L85" t="s">
        <v>23</v>
      </c>
      <c r="M85" t="str">
        <f t="shared" si="1"/>
        <v>No</v>
      </c>
    </row>
    <row r="86" spans="1:13" x14ac:dyDescent="0.3">
      <c r="A86" t="s">
        <v>112</v>
      </c>
      <c r="B86" t="s">
        <v>39</v>
      </c>
      <c r="C86">
        <v>2</v>
      </c>
      <c r="D86">
        <v>290.33</v>
      </c>
      <c r="E86">
        <v>2419.33</v>
      </c>
      <c r="F86">
        <v>22.6</v>
      </c>
      <c r="G86">
        <v>3216</v>
      </c>
      <c r="H86">
        <v>4.43</v>
      </c>
      <c r="I86">
        <v>0</v>
      </c>
      <c r="J86">
        <v>2000</v>
      </c>
      <c r="K86" t="s">
        <v>41</v>
      </c>
      <c r="L86" t="s">
        <v>23</v>
      </c>
      <c r="M86" t="str">
        <f t="shared" si="1"/>
        <v>No</v>
      </c>
    </row>
    <row r="87" spans="1:13" x14ac:dyDescent="0.3">
      <c r="A87" t="s">
        <v>113</v>
      </c>
      <c r="B87" t="s">
        <v>13</v>
      </c>
      <c r="C87">
        <v>2</v>
      </c>
      <c r="D87">
        <v>2.0699999999999998</v>
      </c>
      <c r="E87">
        <v>6.57</v>
      </c>
      <c r="F87">
        <v>13.22</v>
      </c>
      <c r="G87">
        <v>2298</v>
      </c>
      <c r="H87">
        <v>8.84</v>
      </c>
      <c r="I87">
        <v>0</v>
      </c>
      <c r="J87">
        <v>2006</v>
      </c>
      <c r="K87" t="s">
        <v>18</v>
      </c>
      <c r="L87" t="s">
        <v>15</v>
      </c>
      <c r="M87" t="str">
        <f t="shared" si="1"/>
        <v>No</v>
      </c>
    </row>
    <row r="88" spans="1:13" x14ac:dyDescent="0.3">
      <c r="A88" t="s">
        <v>114</v>
      </c>
      <c r="B88" t="s">
        <v>39</v>
      </c>
      <c r="C88">
        <v>3</v>
      </c>
      <c r="D88">
        <v>31.38</v>
      </c>
      <c r="E88">
        <v>315.2</v>
      </c>
      <c r="F88">
        <v>39.94</v>
      </c>
      <c r="G88">
        <v>3737</v>
      </c>
      <c r="H88">
        <v>0.61</v>
      </c>
      <c r="I88">
        <v>1</v>
      </c>
      <c r="J88">
        <v>2021</v>
      </c>
      <c r="K88" t="s">
        <v>28</v>
      </c>
      <c r="L88" t="s">
        <v>23</v>
      </c>
      <c r="M88" t="str">
        <f t="shared" si="1"/>
        <v>Yes</v>
      </c>
    </row>
    <row r="89" spans="1:13" x14ac:dyDescent="0.3">
      <c r="A89" t="s">
        <v>115</v>
      </c>
      <c r="B89" t="s">
        <v>30</v>
      </c>
      <c r="C89">
        <v>3</v>
      </c>
      <c r="D89">
        <v>94.72</v>
      </c>
      <c r="E89">
        <v>475.62</v>
      </c>
      <c r="F89">
        <v>92.27</v>
      </c>
      <c r="G89">
        <v>3834</v>
      </c>
      <c r="H89">
        <v>1.99</v>
      </c>
      <c r="I89">
        <v>1</v>
      </c>
      <c r="J89">
        <v>1993</v>
      </c>
      <c r="K89" t="s">
        <v>28</v>
      </c>
      <c r="L89" t="s">
        <v>15</v>
      </c>
      <c r="M89" t="str">
        <f t="shared" si="1"/>
        <v>No</v>
      </c>
    </row>
    <row r="90" spans="1:13" x14ac:dyDescent="0.3">
      <c r="A90" t="s">
        <v>116</v>
      </c>
      <c r="B90" t="s">
        <v>75</v>
      </c>
      <c r="C90">
        <v>2</v>
      </c>
      <c r="D90">
        <v>242.33</v>
      </c>
      <c r="E90">
        <v>2595.58</v>
      </c>
      <c r="F90">
        <v>47.26</v>
      </c>
      <c r="G90">
        <v>1515</v>
      </c>
      <c r="H90">
        <v>3.17</v>
      </c>
      <c r="I90">
        <v>1</v>
      </c>
      <c r="J90">
        <v>1993</v>
      </c>
      <c r="K90" t="s">
        <v>41</v>
      </c>
      <c r="L90" t="s">
        <v>15</v>
      </c>
      <c r="M90" t="str">
        <f t="shared" si="1"/>
        <v>No</v>
      </c>
    </row>
    <row r="91" spans="1:13" x14ac:dyDescent="0.3">
      <c r="A91" t="s">
        <v>117</v>
      </c>
      <c r="B91" t="s">
        <v>17</v>
      </c>
      <c r="C91">
        <v>4</v>
      </c>
      <c r="D91">
        <v>288.64999999999998</v>
      </c>
      <c r="E91">
        <v>3496.17</v>
      </c>
      <c r="F91">
        <v>1.44</v>
      </c>
      <c r="G91">
        <v>480</v>
      </c>
      <c r="H91">
        <v>7.34</v>
      </c>
      <c r="I91">
        <v>0</v>
      </c>
      <c r="J91">
        <v>2006</v>
      </c>
      <c r="K91" t="s">
        <v>41</v>
      </c>
      <c r="L91" t="s">
        <v>23</v>
      </c>
      <c r="M91" t="str">
        <f t="shared" si="1"/>
        <v>No</v>
      </c>
    </row>
    <row r="92" spans="1:13" x14ac:dyDescent="0.3">
      <c r="A92" t="s">
        <v>118</v>
      </c>
      <c r="B92" t="s">
        <v>25</v>
      </c>
      <c r="C92">
        <v>1</v>
      </c>
      <c r="D92">
        <v>237.11</v>
      </c>
      <c r="E92">
        <v>2135.2600000000002</v>
      </c>
      <c r="F92">
        <v>28.35</v>
      </c>
      <c r="G92">
        <v>981</v>
      </c>
      <c r="H92">
        <v>6.44</v>
      </c>
      <c r="I92">
        <v>0</v>
      </c>
      <c r="J92">
        <v>2008</v>
      </c>
      <c r="K92" t="s">
        <v>14</v>
      </c>
      <c r="L92" t="s">
        <v>15</v>
      </c>
      <c r="M92" t="str">
        <f t="shared" si="1"/>
        <v>No</v>
      </c>
    </row>
    <row r="93" spans="1:13" x14ac:dyDescent="0.3">
      <c r="A93" t="s">
        <v>119</v>
      </c>
      <c r="B93" t="s">
        <v>21</v>
      </c>
      <c r="C93">
        <v>1</v>
      </c>
      <c r="D93">
        <v>207.32</v>
      </c>
      <c r="E93">
        <v>1971.27</v>
      </c>
      <c r="F93">
        <v>4.5599999999999996</v>
      </c>
      <c r="G93">
        <v>1212</v>
      </c>
      <c r="H93">
        <v>4.22</v>
      </c>
      <c r="I93">
        <v>0</v>
      </c>
      <c r="J93">
        <v>1994</v>
      </c>
      <c r="K93" t="s">
        <v>18</v>
      </c>
      <c r="L93" t="s">
        <v>26</v>
      </c>
      <c r="M93" t="str">
        <f t="shared" si="1"/>
        <v>No</v>
      </c>
    </row>
    <row r="94" spans="1:13" x14ac:dyDescent="0.3">
      <c r="A94" t="s">
        <v>120</v>
      </c>
      <c r="B94" t="s">
        <v>17</v>
      </c>
      <c r="C94">
        <v>4</v>
      </c>
      <c r="D94">
        <v>156.63</v>
      </c>
      <c r="E94">
        <v>2258.25</v>
      </c>
      <c r="F94">
        <v>3.73</v>
      </c>
      <c r="G94">
        <v>1965</v>
      </c>
      <c r="H94">
        <v>7.61</v>
      </c>
      <c r="I94">
        <v>0</v>
      </c>
      <c r="J94">
        <v>2021</v>
      </c>
      <c r="K94" t="s">
        <v>18</v>
      </c>
      <c r="L94" t="s">
        <v>15</v>
      </c>
      <c r="M94" t="str">
        <f t="shared" si="1"/>
        <v>Yes</v>
      </c>
    </row>
    <row r="95" spans="1:13" x14ac:dyDescent="0.3">
      <c r="A95" t="s">
        <v>121</v>
      </c>
      <c r="B95" t="s">
        <v>75</v>
      </c>
      <c r="C95">
        <v>2</v>
      </c>
      <c r="D95">
        <v>26.47</v>
      </c>
      <c r="E95">
        <v>348.5</v>
      </c>
      <c r="F95">
        <v>27.64</v>
      </c>
      <c r="G95">
        <v>562</v>
      </c>
      <c r="H95">
        <v>6.14</v>
      </c>
      <c r="I95">
        <v>0</v>
      </c>
      <c r="J95">
        <v>2011</v>
      </c>
      <c r="K95" t="s">
        <v>41</v>
      </c>
      <c r="L95" t="s">
        <v>23</v>
      </c>
      <c r="M95" t="str">
        <f t="shared" si="1"/>
        <v>Yes</v>
      </c>
    </row>
    <row r="96" spans="1:13" x14ac:dyDescent="0.3">
      <c r="A96" t="s">
        <v>122</v>
      </c>
      <c r="B96" t="s">
        <v>75</v>
      </c>
      <c r="C96">
        <v>3</v>
      </c>
      <c r="D96">
        <v>287.47000000000003</v>
      </c>
      <c r="E96">
        <v>4016.2</v>
      </c>
      <c r="F96">
        <v>27.63</v>
      </c>
      <c r="G96">
        <v>887</v>
      </c>
      <c r="H96">
        <v>8.9700000000000006</v>
      </c>
      <c r="I96">
        <v>0</v>
      </c>
      <c r="J96">
        <v>1995</v>
      </c>
      <c r="K96" t="s">
        <v>28</v>
      </c>
      <c r="L96" t="s">
        <v>15</v>
      </c>
      <c r="M96" t="str">
        <f t="shared" si="1"/>
        <v>No</v>
      </c>
    </row>
    <row r="97" spans="1:13" x14ac:dyDescent="0.3">
      <c r="A97" t="s">
        <v>123</v>
      </c>
      <c r="B97" t="s">
        <v>75</v>
      </c>
      <c r="C97">
        <v>1</v>
      </c>
      <c r="D97">
        <v>227.64</v>
      </c>
      <c r="E97">
        <v>2905.87</v>
      </c>
      <c r="F97">
        <v>78.73</v>
      </c>
      <c r="G97">
        <v>2199</v>
      </c>
      <c r="H97">
        <v>8.1999999999999993</v>
      </c>
      <c r="I97">
        <v>1</v>
      </c>
      <c r="J97">
        <v>2011</v>
      </c>
      <c r="K97" t="s">
        <v>41</v>
      </c>
      <c r="L97" t="s">
        <v>23</v>
      </c>
      <c r="M97" t="str">
        <f t="shared" si="1"/>
        <v>Yes</v>
      </c>
    </row>
    <row r="98" spans="1:13" x14ac:dyDescent="0.3">
      <c r="A98" t="s">
        <v>124</v>
      </c>
      <c r="B98" t="s">
        <v>17</v>
      </c>
      <c r="C98">
        <v>5</v>
      </c>
      <c r="D98">
        <v>191.87</v>
      </c>
      <c r="E98">
        <v>826.39</v>
      </c>
      <c r="F98">
        <v>97.49</v>
      </c>
      <c r="G98">
        <v>4766</v>
      </c>
      <c r="H98">
        <v>2.6</v>
      </c>
      <c r="I98">
        <v>1</v>
      </c>
      <c r="J98">
        <v>1990</v>
      </c>
      <c r="K98" t="s">
        <v>28</v>
      </c>
      <c r="L98" t="s">
        <v>15</v>
      </c>
      <c r="M98" t="str">
        <f t="shared" si="1"/>
        <v>No</v>
      </c>
    </row>
    <row r="99" spans="1:13" x14ac:dyDescent="0.3">
      <c r="A99" t="s">
        <v>125</v>
      </c>
      <c r="B99" t="s">
        <v>13</v>
      </c>
      <c r="C99">
        <v>5</v>
      </c>
      <c r="D99">
        <v>227.83</v>
      </c>
      <c r="E99">
        <v>1090.83</v>
      </c>
      <c r="F99">
        <v>37.18</v>
      </c>
      <c r="G99">
        <v>2672</v>
      </c>
      <c r="H99">
        <v>2.79</v>
      </c>
      <c r="I99">
        <v>0</v>
      </c>
      <c r="J99">
        <v>2009</v>
      </c>
      <c r="K99" t="s">
        <v>28</v>
      </c>
      <c r="L99" t="s">
        <v>15</v>
      </c>
      <c r="M99" t="str">
        <f t="shared" si="1"/>
        <v>No</v>
      </c>
    </row>
    <row r="100" spans="1:13" x14ac:dyDescent="0.3">
      <c r="A100" t="s">
        <v>126</v>
      </c>
      <c r="B100" t="s">
        <v>75</v>
      </c>
      <c r="C100">
        <v>4</v>
      </c>
      <c r="D100">
        <v>217.37</v>
      </c>
      <c r="E100">
        <v>2025.78</v>
      </c>
      <c r="F100">
        <v>42.95</v>
      </c>
      <c r="G100">
        <v>4964</v>
      </c>
      <c r="H100">
        <v>1.34</v>
      </c>
      <c r="I100">
        <v>0</v>
      </c>
      <c r="J100">
        <v>2011</v>
      </c>
      <c r="K100" t="s">
        <v>41</v>
      </c>
      <c r="L100" t="s">
        <v>15</v>
      </c>
      <c r="M100" t="str">
        <f t="shared" si="1"/>
        <v>Yes</v>
      </c>
    </row>
    <row r="101" spans="1:13" x14ac:dyDescent="0.3">
      <c r="A101" t="s">
        <v>127</v>
      </c>
      <c r="B101" t="s">
        <v>39</v>
      </c>
      <c r="C101">
        <v>2</v>
      </c>
      <c r="D101">
        <v>191.35</v>
      </c>
      <c r="E101">
        <v>1139.08</v>
      </c>
      <c r="F101">
        <v>84.49</v>
      </c>
      <c r="G101">
        <v>4682</v>
      </c>
      <c r="H101">
        <v>3.44</v>
      </c>
      <c r="I101">
        <v>0</v>
      </c>
      <c r="J101">
        <v>2000</v>
      </c>
      <c r="K101" t="s">
        <v>32</v>
      </c>
      <c r="L101" t="s">
        <v>15</v>
      </c>
      <c r="M101" t="str">
        <f t="shared" si="1"/>
        <v>No</v>
      </c>
    </row>
    <row r="102" spans="1:13" x14ac:dyDescent="0.3">
      <c r="A102" t="s">
        <v>128</v>
      </c>
      <c r="B102" t="s">
        <v>17</v>
      </c>
      <c r="C102">
        <v>1</v>
      </c>
      <c r="D102">
        <v>294.18</v>
      </c>
      <c r="E102">
        <v>2565.35</v>
      </c>
      <c r="F102">
        <v>26.89</v>
      </c>
      <c r="G102">
        <v>4795</v>
      </c>
      <c r="H102">
        <v>10</v>
      </c>
      <c r="I102">
        <v>0</v>
      </c>
      <c r="J102">
        <v>2002</v>
      </c>
      <c r="K102" t="s">
        <v>18</v>
      </c>
      <c r="L102" t="s">
        <v>15</v>
      </c>
      <c r="M102" t="str">
        <f t="shared" si="1"/>
        <v>No</v>
      </c>
    </row>
    <row r="103" spans="1:13" x14ac:dyDescent="0.3">
      <c r="A103" t="s">
        <v>129</v>
      </c>
      <c r="B103" t="s">
        <v>21</v>
      </c>
      <c r="C103">
        <v>2</v>
      </c>
      <c r="D103">
        <v>271.06</v>
      </c>
      <c r="E103">
        <v>2095.94</v>
      </c>
      <c r="F103">
        <v>15.72</v>
      </c>
      <c r="G103">
        <v>1615</v>
      </c>
      <c r="H103">
        <v>4.12</v>
      </c>
      <c r="I103">
        <v>1</v>
      </c>
      <c r="J103">
        <v>1992</v>
      </c>
      <c r="K103" t="s">
        <v>28</v>
      </c>
      <c r="L103" t="s">
        <v>15</v>
      </c>
      <c r="M103" t="str">
        <f t="shared" si="1"/>
        <v>No</v>
      </c>
    </row>
    <row r="104" spans="1:13" x14ac:dyDescent="0.3">
      <c r="A104" t="s">
        <v>130</v>
      </c>
      <c r="B104" t="s">
        <v>75</v>
      </c>
      <c r="C104">
        <v>1</v>
      </c>
      <c r="D104">
        <v>194.18</v>
      </c>
      <c r="E104">
        <v>1862.76</v>
      </c>
      <c r="F104">
        <v>85.32</v>
      </c>
      <c r="G104">
        <v>3493</v>
      </c>
      <c r="H104">
        <v>2.2799999999999998</v>
      </c>
      <c r="I104">
        <v>0</v>
      </c>
      <c r="J104">
        <v>1998</v>
      </c>
      <c r="K104" t="s">
        <v>28</v>
      </c>
      <c r="L104" t="s">
        <v>23</v>
      </c>
      <c r="M104" t="str">
        <f t="shared" si="1"/>
        <v>No</v>
      </c>
    </row>
    <row r="105" spans="1:13" x14ac:dyDescent="0.3">
      <c r="A105" t="s">
        <v>131</v>
      </c>
      <c r="B105" t="s">
        <v>39</v>
      </c>
      <c r="C105">
        <v>4</v>
      </c>
      <c r="D105">
        <v>208.11</v>
      </c>
      <c r="E105">
        <v>2489.52</v>
      </c>
      <c r="F105">
        <v>4.75</v>
      </c>
      <c r="G105">
        <v>2459</v>
      </c>
      <c r="H105">
        <v>7.65</v>
      </c>
      <c r="I105">
        <v>0</v>
      </c>
      <c r="J105">
        <v>2001</v>
      </c>
      <c r="K105" t="s">
        <v>32</v>
      </c>
      <c r="L105" t="s">
        <v>26</v>
      </c>
      <c r="M105" t="str">
        <f t="shared" si="1"/>
        <v>No</v>
      </c>
    </row>
    <row r="106" spans="1:13" x14ac:dyDescent="0.3">
      <c r="A106" t="s">
        <v>132</v>
      </c>
      <c r="B106" t="s">
        <v>13</v>
      </c>
      <c r="C106">
        <v>4</v>
      </c>
      <c r="D106">
        <v>15.95</v>
      </c>
      <c r="E106">
        <v>184.79</v>
      </c>
      <c r="F106">
        <v>62.01</v>
      </c>
      <c r="G106">
        <v>4499</v>
      </c>
      <c r="H106">
        <v>5.47</v>
      </c>
      <c r="I106">
        <v>0</v>
      </c>
      <c r="J106">
        <v>2012</v>
      </c>
      <c r="K106" t="s">
        <v>14</v>
      </c>
      <c r="L106" t="s">
        <v>26</v>
      </c>
      <c r="M106" t="str">
        <f t="shared" si="1"/>
        <v>Yes</v>
      </c>
    </row>
    <row r="107" spans="1:13" x14ac:dyDescent="0.3">
      <c r="A107" t="s">
        <v>133</v>
      </c>
      <c r="B107" t="s">
        <v>30</v>
      </c>
      <c r="C107">
        <v>5</v>
      </c>
      <c r="D107">
        <v>201.14</v>
      </c>
      <c r="E107">
        <v>1861.51</v>
      </c>
      <c r="F107">
        <v>56.24</v>
      </c>
      <c r="G107">
        <v>1951</v>
      </c>
      <c r="H107">
        <v>1.58</v>
      </c>
      <c r="I107">
        <v>0</v>
      </c>
      <c r="J107">
        <v>2003</v>
      </c>
      <c r="K107" t="s">
        <v>32</v>
      </c>
      <c r="L107" t="s">
        <v>15</v>
      </c>
      <c r="M107" t="str">
        <f t="shared" si="1"/>
        <v>No</v>
      </c>
    </row>
    <row r="108" spans="1:13" x14ac:dyDescent="0.3">
      <c r="A108" t="s">
        <v>134</v>
      </c>
      <c r="B108" t="s">
        <v>13</v>
      </c>
      <c r="C108">
        <v>2</v>
      </c>
      <c r="D108">
        <v>13.73</v>
      </c>
      <c r="E108">
        <v>176.69</v>
      </c>
      <c r="F108">
        <v>34.659999999999997</v>
      </c>
      <c r="G108">
        <v>4815</v>
      </c>
      <c r="H108">
        <v>3.87</v>
      </c>
      <c r="I108">
        <v>1</v>
      </c>
      <c r="J108">
        <v>2022</v>
      </c>
      <c r="K108" t="s">
        <v>32</v>
      </c>
      <c r="L108" t="s">
        <v>15</v>
      </c>
      <c r="M108" t="str">
        <f t="shared" si="1"/>
        <v>Yes</v>
      </c>
    </row>
    <row r="109" spans="1:13" x14ac:dyDescent="0.3">
      <c r="A109" t="s">
        <v>135</v>
      </c>
      <c r="B109" t="s">
        <v>21</v>
      </c>
      <c r="C109">
        <v>5</v>
      </c>
      <c r="D109">
        <v>176.68</v>
      </c>
      <c r="E109">
        <v>1443.54</v>
      </c>
      <c r="F109">
        <v>31.59</v>
      </c>
      <c r="G109">
        <v>4804</v>
      </c>
      <c r="H109">
        <v>4.2</v>
      </c>
      <c r="I109">
        <v>1</v>
      </c>
      <c r="J109">
        <v>2007</v>
      </c>
      <c r="K109" t="s">
        <v>28</v>
      </c>
      <c r="L109" t="s">
        <v>15</v>
      </c>
      <c r="M109" t="str">
        <f t="shared" si="1"/>
        <v>No</v>
      </c>
    </row>
    <row r="110" spans="1:13" x14ac:dyDescent="0.3">
      <c r="A110" t="s">
        <v>136</v>
      </c>
      <c r="B110" t="s">
        <v>75</v>
      </c>
      <c r="C110">
        <v>2</v>
      </c>
      <c r="D110">
        <v>299.81</v>
      </c>
      <c r="E110">
        <v>4125.5600000000004</v>
      </c>
      <c r="F110">
        <v>77.209999999999994</v>
      </c>
      <c r="G110">
        <v>2813</v>
      </c>
      <c r="H110">
        <v>7.56</v>
      </c>
      <c r="I110">
        <v>1</v>
      </c>
      <c r="J110">
        <v>1998</v>
      </c>
      <c r="K110" t="s">
        <v>18</v>
      </c>
      <c r="L110" t="s">
        <v>23</v>
      </c>
      <c r="M110" t="str">
        <f t="shared" si="1"/>
        <v>No</v>
      </c>
    </row>
    <row r="111" spans="1:13" x14ac:dyDescent="0.3">
      <c r="A111" t="s">
        <v>137</v>
      </c>
      <c r="B111" t="s">
        <v>21</v>
      </c>
      <c r="C111">
        <v>5</v>
      </c>
      <c r="D111">
        <v>166.96</v>
      </c>
      <c r="E111">
        <v>643.69000000000005</v>
      </c>
      <c r="F111">
        <v>8.73</v>
      </c>
      <c r="G111">
        <v>3830</v>
      </c>
      <c r="H111">
        <v>0.3</v>
      </c>
      <c r="I111">
        <v>0</v>
      </c>
      <c r="J111">
        <v>2012</v>
      </c>
      <c r="K111" t="s">
        <v>32</v>
      </c>
      <c r="L111" t="s">
        <v>15</v>
      </c>
      <c r="M111" t="str">
        <f t="shared" si="1"/>
        <v>Yes</v>
      </c>
    </row>
    <row r="112" spans="1:13" x14ac:dyDescent="0.3">
      <c r="A112" t="s">
        <v>138</v>
      </c>
      <c r="B112" t="s">
        <v>17</v>
      </c>
      <c r="C112">
        <v>3</v>
      </c>
      <c r="D112">
        <v>142.22999999999999</v>
      </c>
      <c r="E112">
        <v>2056.0700000000002</v>
      </c>
      <c r="F112">
        <v>23.75</v>
      </c>
      <c r="G112">
        <v>3541</v>
      </c>
      <c r="H112">
        <v>2.76</v>
      </c>
      <c r="I112">
        <v>0</v>
      </c>
      <c r="J112">
        <v>1999</v>
      </c>
      <c r="K112" t="s">
        <v>14</v>
      </c>
      <c r="L112" t="s">
        <v>23</v>
      </c>
      <c r="M112" t="str">
        <f t="shared" si="1"/>
        <v>No</v>
      </c>
    </row>
    <row r="113" spans="1:13" x14ac:dyDescent="0.3">
      <c r="A113" t="s">
        <v>139</v>
      </c>
      <c r="B113" t="s">
        <v>34</v>
      </c>
      <c r="C113">
        <v>3</v>
      </c>
      <c r="D113">
        <v>94.2</v>
      </c>
      <c r="E113">
        <v>1022.67</v>
      </c>
      <c r="F113">
        <v>73.27</v>
      </c>
      <c r="G113">
        <v>3807</v>
      </c>
      <c r="H113">
        <v>5.22</v>
      </c>
      <c r="I113">
        <v>0</v>
      </c>
      <c r="J113">
        <v>2008</v>
      </c>
      <c r="K113" t="s">
        <v>41</v>
      </c>
      <c r="L113" t="s">
        <v>15</v>
      </c>
      <c r="M113" t="str">
        <f t="shared" si="1"/>
        <v>No</v>
      </c>
    </row>
    <row r="114" spans="1:13" x14ac:dyDescent="0.3">
      <c r="A114" t="s">
        <v>140</v>
      </c>
      <c r="B114" t="s">
        <v>75</v>
      </c>
      <c r="C114">
        <v>3</v>
      </c>
      <c r="D114">
        <v>36.6</v>
      </c>
      <c r="E114">
        <v>276.73</v>
      </c>
      <c r="F114">
        <v>54.88</v>
      </c>
      <c r="G114">
        <v>4182</v>
      </c>
      <c r="H114">
        <v>2.76</v>
      </c>
      <c r="I114">
        <v>1</v>
      </c>
      <c r="J114">
        <v>1994</v>
      </c>
      <c r="K114" t="s">
        <v>32</v>
      </c>
      <c r="L114" t="s">
        <v>15</v>
      </c>
      <c r="M114" t="str">
        <f t="shared" si="1"/>
        <v>No</v>
      </c>
    </row>
    <row r="115" spans="1:13" x14ac:dyDescent="0.3">
      <c r="A115" t="s">
        <v>141</v>
      </c>
      <c r="B115" t="s">
        <v>34</v>
      </c>
      <c r="C115">
        <v>3</v>
      </c>
      <c r="D115">
        <v>219.44</v>
      </c>
      <c r="E115">
        <v>1177.48</v>
      </c>
      <c r="F115">
        <v>12.89</v>
      </c>
      <c r="G115">
        <v>4704</v>
      </c>
      <c r="H115">
        <v>6.32</v>
      </c>
      <c r="I115">
        <v>0</v>
      </c>
      <c r="J115">
        <v>2012</v>
      </c>
      <c r="K115" t="s">
        <v>32</v>
      </c>
      <c r="L115" t="s">
        <v>15</v>
      </c>
      <c r="M115" t="str">
        <f t="shared" si="1"/>
        <v>Yes</v>
      </c>
    </row>
    <row r="116" spans="1:13" x14ac:dyDescent="0.3">
      <c r="A116" t="s">
        <v>142</v>
      </c>
      <c r="B116" t="s">
        <v>39</v>
      </c>
      <c r="C116">
        <v>1</v>
      </c>
      <c r="D116">
        <v>58.18</v>
      </c>
      <c r="E116">
        <v>509.09</v>
      </c>
      <c r="F116">
        <v>88.23</v>
      </c>
      <c r="G116">
        <v>1975</v>
      </c>
      <c r="H116">
        <v>4.87</v>
      </c>
      <c r="I116">
        <v>0</v>
      </c>
      <c r="J116">
        <v>2019</v>
      </c>
      <c r="K116" t="s">
        <v>14</v>
      </c>
      <c r="L116" t="s">
        <v>15</v>
      </c>
      <c r="M116" t="str">
        <f t="shared" si="1"/>
        <v>Yes</v>
      </c>
    </row>
    <row r="117" spans="1:13" x14ac:dyDescent="0.3">
      <c r="A117" t="s">
        <v>143</v>
      </c>
      <c r="B117" t="s">
        <v>30</v>
      </c>
      <c r="C117">
        <v>3</v>
      </c>
      <c r="D117">
        <v>35.03</v>
      </c>
      <c r="E117">
        <v>186.87</v>
      </c>
      <c r="F117">
        <v>39.409999999999997</v>
      </c>
      <c r="G117">
        <v>3827</v>
      </c>
      <c r="H117">
        <v>3.68</v>
      </c>
      <c r="I117">
        <v>1</v>
      </c>
      <c r="J117">
        <v>2014</v>
      </c>
      <c r="K117" t="s">
        <v>18</v>
      </c>
      <c r="L117" t="s">
        <v>15</v>
      </c>
      <c r="M117" t="str">
        <f t="shared" si="1"/>
        <v>Yes</v>
      </c>
    </row>
    <row r="118" spans="1:13" x14ac:dyDescent="0.3">
      <c r="A118" t="s">
        <v>144</v>
      </c>
      <c r="B118" t="s">
        <v>25</v>
      </c>
      <c r="C118">
        <v>4</v>
      </c>
      <c r="D118">
        <v>126.82</v>
      </c>
      <c r="E118">
        <v>633.59</v>
      </c>
      <c r="F118">
        <v>82.8</v>
      </c>
      <c r="G118">
        <v>2824</v>
      </c>
      <c r="H118">
        <v>9.5</v>
      </c>
      <c r="I118">
        <v>1</v>
      </c>
      <c r="J118">
        <v>2017</v>
      </c>
      <c r="K118" t="s">
        <v>32</v>
      </c>
      <c r="L118" t="s">
        <v>23</v>
      </c>
      <c r="M118" t="str">
        <f t="shared" si="1"/>
        <v>Yes</v>
      </c>
    </row>
    <row r="119" spans="1:13" x14ac:dyDescent="0.3">
      <c r="A119" t="s">
        <v>145</v>
      </c>
      <c r="B119" t="s">
        <v>21</v>
      </c>
      <c r="C119">
        <v>4</v>
      </c>
      <c r="D119">
        <v>238.7</v>
      </c>
      <c r="E119">
        <v>2484.44</v>
      </c>
      <c r="F119">
        <v>78.790000000000006</v>
      </c>
      <c r="G119">
        <v>907</v>
      </c>
      <c r="H119">
        <v>6.36</v>
      </c>
      <c r="I119">
        <v>0</v>
      </c>
      <c r="J119">
        <v>2014</v>
      </c>
      <c r="K119" t="s">
        <v>32</v>
      </c>
      <c r="L119" t="s">
        <v>15</v>
      </c>
      <c r="M119" t="str">
        <f t="shared" si="1"/>
        <v>Yes</v>
      </c>
    </row>
    <row r="120" spans="1:13" x14ac:dyDescent="0.3">
      <c r="A120" t="s">
        <v>146</v>
      </c>
      <c r="B120" t="s">
        <v>13</v>
      </c>
      <c r="C120">
        <v>1</v>
      </c>
      <c r="D120">
        <v>223.65</v>
      </c>
      <c r="E120">
        <v>2074.8000000000002</v>
      </c>
      <c r="F120">
        <v>62.48</v>
      </c>
      <c r="G120">
        <v>369</v>
      </c>
      <c r="H120">
        <v>1.39</v>
      </c>
      <c r="I120">
        <v>0</v>
      </c>
      <c r="J120">
        <v>1999</v>
      </c>
      <c r="K120" t="s">
        <v>18</v>
      </c>
      <c r="L120" t="s">
        <v>23</v>
      </c>
      <c r="M120" t="str">
        <f t="shared" si="1"/>
        <v>No</v>
      </c>
    </row>
    <row r="121" spans="1:13" x14ac:dyDescent="0.3">
      <c r="A121" t="s">
        <v>147</v>
      </c>
      <c r="B121" t="s">
        <v>30</v>
      </c>
      <c r="C121">
        <v>3</v>
      </c>
      <c r="D121">
        <v>16.940000000000001</v>
      </c>
      <c r="E121">
        <v>187.04</v>
      </c>
      <c r="F121">
        <v>49.5</v>
      </c>
      <c r="G121">
        <v>4263</v>
      </c>
      <c r="H121">
        <v>5.64</v>
      </c>
      <c r="I121">
        <v>0</v>
      </c>
      <c r="J121">
        <v>2003</v>
      </c>
      <c r="K121" t="s">
        <v>14</v>
      </c>
      <c r="L121" t="s">
        <v>15</v>
      </c>
      <c r="M121" t="str">
        <f t="shared" si="1"/>
        <v>No</v>
      </c>
    </row>
    <row r="122" spans="1:13" x14ac:dyDescent="0.3">
      <c r="A122" t="s">
        <v>148</v>
      </c>
      <c r="B122" t="s">
        <v>75</v>
      </c>
      <c r="C122">
        <v>3</v>
      </c>
      <c r="D122">
        <v>136.82</v>
      </c>
      <c r="E122">
        <v>1936.72</v>
      </c>
      <c r="F122">
        <v>97.96</v>
      </c>
      <c r="G122">
        <v>3124</v>
      </c>
      <c r="H122">
        <v>7.83</v>
      </c>
      <c r="I122">
        <v>1</v>
      </c>
      <c r="J122">
        <v>2019</v>
      </c>
      <c r="K122" t="s">
        <v>32</v>
      </c>
      <c r="L122" t="s">
        <v>15</v>
      </c>
      <c r="M122" t="str">
        <f t="shared" si="1"/>
        <v>Yes</v>
      </c>
    </row>
    <row r="123" spans="1:13" x14ac:dyDescent="0.3">
      <c r="A123" t="s">
        <v>149</v>
      </c>
      <c r="B123" t="s">
        <v>34</v>
      </c>
      <c r="C123">
        <v>3</v>
      </c>
      <c r="D123">
        <v>156.97</v>
      </c>
      <c r="E123">
        <v>1473.5</v>
      </c>
      <c r="F123">
        <v>14.58</v>
      </c>
      <c r="G123">
        <v>2563</v>
      </c>
      <c r="H123">
        <v>7.11</v>
      </c>
      <c r="I123">
        <v>0</v>
      </c>
      <c r="J123">
        <v>2014</v>
      </c>
      <c r="K123" t="s">
        <v>18</v>
      </c>
      <c r="L123" t="s">
        <v>23</v>
      </c>
      <c r="M123" t="str">
        <f t="shared" si="1"/>
        <v>Yes</v>
      </c>
    </row>
    <row r="124" spans="1:13" x14ac:dyDescent="0.3">
      <c r="A124" t="s">
        <v>150</v>
      </c>
      <c r="B124" t="s">
        <v>13</v>
      </c>
      <c r="C124">
        <v>5</v>
      </c>
      <c r="D124">
        <v>193.54</v>
      </c>
      <c r="E124">
        <v>1929.82</v>
      </c>
      <c r="F124">
        <v>72.540000000000006</v>
      </c>
      <c r="G124">
        <v>1868</v>
      </c>
      <c r="H124">
        <v>1.8</v>
      </c>
      <c r="I124">
        <v>1</v>
      </c>
      <c r="J124">
        <v>2003</v>
      </c>
      <c r="K124" t="s">
        <v>32</v>
      </c>
      <c r="L124" t="s">
        <v>26</v>
      </c>
      <c r="M124" t="str">
        <f t="shared" si="1"/>
        <v>No</v>
      </c>
    </row>
    <row r="125" spans="1:13" x14ac:dyDescent="0.3">
      <c r="A125" t="s">
        <v>151</v>
      </c>
      <c r="B125" t="s">
        <v>34</v>
      </c>
      <c r="C125">
        <v>2</v>
      </c>
      <c r="D125">
        <v>195.23</v>
      </c>
      <c r="E125">
        <v>795.66</v>
      </c>
      <c r="F125">
        <v>19.2</v>
      </c>
      <c r="G125">
        <v>120</v>
      </c>
      <c r="H125">
        <v>9.73</v>
      </c>
      <c r="I125">
        <v>0</v>
      </c>
      <c r="J125">
        <v>1999</v>
      </c>
      <c r="K125" t="s">
        <v>41</v>
      </c>
      <c r="L125" t="s">
        <v>15</v>
      </c>
      <c r="M125" t="str">
        <f t="shared" si="1"/>
        <v>No</v>
      </c>
    </row>
    <row r="126" spans="1:13" x14ac:dyDescent="0.3">
      <c r="A126" t="s">
        <v>152</v>
      </c>
      <c r="B126" t="s">
        <v>17</v>
      </c>
      <c r="C126">
        <v>5</v>
      </c>
      <c r="D126">
        <v>109.73</v>
      </c>
      <c r="E126">
        <v>1274.1400000000001</v>
      </c>
      <c r="F126">
        <v>33.89</v>
      </c>
      <c r="G126">
        <v>2389</v>
      </c>
      <c r="H126">
        <v>4.54</v>
      </c>
      <c r="I126">
        <v>1</v>
      </c>
      <c r="J126">
        <v>2000</v>
      </c>
      <c r="K126" t="s">
        <v>28</v>
      </c>
      <c r="L126" t="s">
        <v>15</v>
      </c>
      <c r="M126" t="str">
        <f t="shared" si="1"/>
        <v>No</v>
      </c>
    </row>
    <row r="127" spans="1:13" x14ac:dyDescent="0.3">
      <c r="A127" t="s">
        <v>153</v>
      </c>
      <c r="B127" t="s">
        <v>34</v>
      </c>
      <c r="C127">
        <v>2</v>
      </c>
      <c r="D127">
        <v>168.42</v>
      </c>
      <c r="E127">
        <v>1313.48</v>
      </c>
      <c r="F127">
        <v>30.94</v>
      </c>
      <c r="G127">
        <v>4981</v>
      </c>
      <c r="H127">
        <v>1.67</v>
      </c>
      <c r="I127">
        <v>1</v>
      </c>
      <c r="J127">
        <v>2000</v>
      </c>
      <c r="K127" t="s">
        <v>41</v>
      </c>
      <c r="L127" t="s">
        <v>15</v>
      </c>
      <c r="M127" t="str">
        <f t="shared" si="1"/>
        <v>No</v>
      </c>
    </row>
    <row r="128" spans="1:13" x14ac:dyDescent="0.3">
      <c r="A128" t="s">
        <v>154</v>
      </c>
      <c r="B128" t="s">
        <v>17</v>
      </c>
      <c r="C128">
        <v>3</v>
      </c>
      <c r="D128">
        <v>144.58000000000001</v>
      </c>
      <c r="E128">
        <v>2128.3200000000002</v>
      </c>
      <c r="F128">
        <v>94.71</v>
      </c>
      <c r="G128">
        <v>3940</v>
      </c>
      <c r="H128">
        <v>1.88</v>
      </c>
      <c r="I128">
        <v>0</v>
      </c>
      <c r="J128">
        <v>2010</v>
      </c>
      <c r="K128" t="s">
        <v>32</v>
      </c>
      <c r="L128" t="s">
        <v>23</v>
      </c>
      <c r="M128" t="str">
        <f t="shared" si="1"/>
        <v>No</v>
      </c>
    </row>
    <row r="129" spans="1:13" x14ac:dyDescent="0.3">
      <c r="A129" t="s">
        <v>155</v>
      </c>
      <c r="B129" t="s">
        <v>39</v>
      </c>
      <c r="C129">
        <v>3</v>
      </c>
      <c r="D129">
        <v>265.56</v>
      </c>
      <c r="E129">
        <v>3419.91</v>
      </c>
      <c r="F129">
        <v>96.74</v>
      </c>
      <c r="G129">
        <v>4940</v>
      </c>
      <c r="H129">
        <v>1.07</v>
      </c>
      <c r="I129">
        <v>1</v>
      </c>
      <c r="J129">
        <v>2010</v>
      </c>
      <c r="K129" t="s">
        <v>14</v>
      </c>
      <c r="L129" t="s">
        <v>23</v>
      </c>
      <c r="M129" t="str">
        <f t="shared" si="1"/>
        <v>No</v>
      </c>
    </row>
    <row r="130" spans="1:13" x14ac:dyDescent="0.3">
      <c r="A130" t="s">
        <v>156</v>
      </c>
      <c r="B130" t="s">
        <v>13</v>
      </c>
      <c r="C130">
        <v>5</v>
      </c>
      <c r="D130">
        <v>159.31</v>
      </c>
      <c r="E130">
        <v>1476.77</v>
      </c>
      <c r="F130">
        <v>18.38</v>
      </c>
      <c r="G130">
        <v>2495</v>
      </c>
      <c r="H130">
        <v>8.0500000000000007</v>
      </c>
      <c r="I130">
        <v>0</v>
      </c>
      <c r="J130">
        <v>2011</v>
      </c>
      <c r="K130" t="s">
        <v>28</v>
      </c>
      <c r="L130" t="s">
        <v>15</v>
      </c>
      <c r="M130" t="str">
        <f t="shared" si="1"/>
        <v>Yes</v>
      </c>
    </row>
    <row r="131" spans="1:13" x14ac:dyDescent="0.3">
      <c r="A131" t="s">
        <v>157</v>
      </c>
      <c r="B131" t="s">
        <v>13</v>
      </c>
      <c r="C131">
        <v>5</v>
      </c>
      <c r="D131">
        <v>132.59</v>
      </c>
      <c r="E131">
        <v>593.83000000000004</v>
      </c>
      <c r="F131">
        <v>2.2999999999999998</v>
      </c>
      <c r="G131">
        <v>947</v>
      </c>
      <c r="H131">
        <v>1.31</v>
      </c>
      <c r="I131">
        <v>1</v>
      </c>
      <c r="J131">
        <v>1996</v>
      </c>
      <c r="K131" t="s">
        <v>41</v>
      </c>
      <c r="L131" t="s">
        <v>15</v>
      </c>
      <c r="M131" t="str">
        <f t="shared" ref="M131:M194" si="2">IF(J131&gt;2010,"Yes","No")</f>
        <v>No</v>
      </c>
    </row>
    <row r="132" spans="1:13" x14ac:dyDescent="0.3">
      <c r="A132" t="s">
        <v>158</v>
      </c>
      <c r="B132" t="s">
        <v>25</v>
      </c>
      <c r="C132">
        <v>2</v>
      </c>
      <c r="D132">
        <v>121.64</v>
      </c>
      <c r="E132">
        <v>1619.39</v>
      </c>
      <c r="F132">
        <v>72.03</v>
      </c>
      <c r="G132">
        <v>1729</v>
      </c>
      <c r="H132">
        <v>1.34</v>
      </c>
      <c r="I132">
        <v>1</v>
      </c>
      <c r="J132">
        <v>2006</v>
      </c>
      <c r="K132" t="s">
        <v>18</v>
      </c>
      <c r="L132" t="s">
        <v>23</v>
      </c>
      <c r="M132" t="str">
        <f t="shared" si="2"/>
        <v>No</v>
      </c>
    </row>
    <row r="133" spans="1:13" x14ac:dyDescent="0.3">
      <c r="A133" t="s">
        <v>159</v>
      </c>
      <c r="B133" t="s">
        <v>75</v>
      </c>
      <c r="C133">
        <v>4</v>
      </c>
      <c r="D133">
        <v>171.94</v>
      </c>
      <c r="E133">
        <v>2165.9899999999998</v>
      </c>
      <c r="F133">
        <v>41.86</v>
      </c>
      <c r="G133">
        <v>2339</v>
      </c>
      <c r="H133">
        <v>8.52</v>
      </c>
      <c r="I133">
        <v>0</v>
      </c>
      <c r="J133">
        <v>1991</v>
      </c>
      <c r="K133" t="s">
        <v>14</v>
      </c>
      <c r="L133" t="s">
        <v>15</v>
      </c>
      <c r="M133" t="str">
        <f t="shared" si="2"/>
        <v>No</v>
      </c>
    </row>
    <row r="134" spans="1:13" x14ac:dyDescent="0.3">
      <c r="A134" t="s">
        <v>160</v>
      </c>
      <c r="B134" t="s">
        <v>17</v>
      </c>
      <c r="C134">
        <v>2</v>
      </c>
      <c r="D134">
        <v>241.29</v>
      </c>
      <c r="E134">
        <v>1258.33</v>
      </c>
      <c r="F134">
        <v>8.98</v>
      </c>
      <c r="G134">
        <v>2772</v>
      </c>
      <c r="H134">
        <v>3.51</v>
      </c>
      <c r="I134">
        <v>1</v>
      </c>
      <c r="J134">
        <v>2001</v>
      </c>
      <c r="K134" t="s">
        <v>41</v>
      </c>
      <c r="L134" t="s">
        <v>23</v>
      </c>
      <c r="M134" t="str">
        <f t="shared" si="2"/>
        <v>No</v>
      </c>
    </row>
    <row r="135" spans="1:13" x14ac:dyDescent="0.3">
      <c r="A135" t="s">
        <v>161</v>
      </c>
      <c r="B135" t="s">
        <v>25</v>
      </c>
      <c r="C135">
        <v>5</v>
      </c>
      <c r="D135">
        <v>161.75</v>
      </c>
      <c r="E135">
        <v>1058.3900000000001</v>
      </c>
      <c r="F135">
        <v>68.41</v>
      </c>
      <c r="G135">
        <v>1142</v>
      </c>
      <c r="H135">
        <v>0.41</v>
      </c>
      <c r="I135">
        <v>1</v>
      </c>
      <c r="J135">
        <v>2007</v>
      </c>
      <c r="K135" t="s">
        <v>18</v>
      </c>
      <c r="L135" t="s">
        <v>15</v>
      </c>
      <c r="M135" t="str">
        <f t="shared" si="2"/>
        <v>No</v>
      </c>
    </row>
    <row r="136" spans="1:13" x14ac:dyDescent="0.3">
      <c r="A136" t="s">
        <v>162</v>
      </c>
      <c r="B136" t="s">
        <v>34</v>
      </c>
      <c r="C136">
        <v>5</v>
      </c>
      <c r="D136">
        <v>198.67</v>
      </c>
      <c r="E136">
        <v>2487.52</v>
      </c>
      <c r="F136">
        <v>54.56</v>
      </c>
      <c r="G136">
        <v>2532</v>
      </c>
      <c r="H136">
        <v>0.61</v>
      </c>
      <c r="I136">
        <v>0</v>
      </c>
      <c r="J136">
        <v>2000</v>
      </c>
      <c r="K136" t="s">
        <v>32</v>
      </c>
      <c r="L136" t="s">
        <v>15</v>
      </c>
      <c r="M136" t="str">
        <f t="shared" si="2"/>
        <v>No</v>
      </c>
    </row>
    <row r="137" spans="1:13" x14ac:dyDescent="0.3">
      <c r="A137" t="s">
        <v>163</v>
      </c>
      <c r="B137" t="s">
        <v>34</v>
      </c>
      <c r="C137">
        <v>1</v>
      </c>
      <c r="D137">
        <v>221.49</v>
      </c>
      <c r="E137">
        <v>1156.78</v>
      </c>
      <c r="F137">
        <v>98.05</v>
      </c>
      <c r="G137">
        <v>4122</v>
      </c>
      <c r="H137">
        <v>1.51</v>
      </c>
      <c r="I137">
        <v>0</v>
      </c>
      <c r="J137">
        <v>2005</v>
      </c>
      <c r="K137" t="s">
        <v>18</v>
      </c>
      <c r="L137" t="s">
        <v>15</v>
      </c>
      <c r="M137" t="str">
        <f t="shared" si="2"/>
        <v>No</v>
      </c>
    </row>
    <row r="138" spans="1:13" x14ac:dyDescent="0.3">
      <c r="A138" t="s">
        <v>164</v>
      </c>
      <c r="B138" t="s">
        <v>25</v>
      </c>
      <c r="C138">
        <v>5</v>
      </c>
      <c r="D138">
        <v>156.29</v>
      </c>
      <c r="E138">
        <v>2190.1</v>
      </c>
      <c r="F138">
        <v>22.82</v>
      </c>
      <c r="G138">
        <v>3425</v>
      </c>
      <c r="H138">
        <v>2.21</v>
      </c>
      <c r="I138">
        <v>1</v>
      </c>
      <c r="J138">
        <v>2007</v>
      </c>
      <c r="K138" t="s">
        <v>41</v>
      </c>
      <c r="L138" t="s">
        <v>15</v>
      </c>
      <c r="M138" t="str">
        <f t="shared" si="2"/>
        <v>No</v>
      </c>
    </row>
    <row r="139" spans="1:13" x14ac:dyDescent="0.3">
      <c r="A139" t="s">
        <v>165</v>
      </c>
      <c r="B139" t="s">
        <v>13</v>
      </c>
      <c r="C139">
        <v>1</v>
      </c>
      <c r="D139">
        <v>128.33000000000001</v>
      </c>
      <c r="E139">
        <v>1038.75</v>
      </c>
      <c r="F139">
        <v>40.46</v>
      </c>
      <c r="G139">
        <v>4783</v>
      </c>
      <c r="H139">
        <v>6.68</v>
      </c>
      <c r="I139">
        <v>1</v>
      </c>
      <c r="J139">
        <v>2015</v>
      </c>
      <c r="K139" t="s">
        <v>41</v>
      </c>
      <c r="L139" t="s">
        <v>15</v>
      </c>
      <c r="M139" t="str">
        <f t="shared" si="2"/>
        <v>Yes</v>
      </c>
    </row>
    <row r="140" spans="1:13" x14ac:dyDescent="0.3">
      <c r="A140" t="s">
        <v>166</v>
      </c>
      <c r="B140" t="s">
        <v>34</v>
      </c>
      <c r="C140">
        <v>4</v>
      </c>
      <c r="D140">
        <v>263.06</v>
      </c>
      <c r="E140">
        <v>1063.94</v>
      </c>
      <c r="F140">
        <v>54.3</v>
      </c>
      <c r="G140">
        <v>3911</v>
      </c>
      <c r="H140">
        <v>1.66</v>
      </c>
      <c r="I140">
        <v>0</v>
      </c>
      <c r="J140">
        <v>2005</v>
      </c>
      <c r="K140" t="s">
        <v>32</v>
      </c>
      <c r="L140" t="s">
        <v>23</v>
      </c>
      <c r="M140" t="str">
        <f t="shared" si="2"/>
        <v>No</v>
      </c>
    </row>
    <row r="141" spans="1:13" x14ac:dyDescent="0.3">
      <c r="A141" t="s">
        <v>167</v>
      </c>
      <c r="B141" t="s">
        <v>21</v>
      </c>
      <c r="C141">
        <v>2</v>
      </c>
      <c r="D141">
        <v>125.54</v>
      </c>
      <c r="E141">
        <v>1605.53</v>
      </c>
      <c r="F141">
        <v>79.19</v>
      </c>
      <c r="G141">
        <v>3642</v>
      </c>
      <c r="H141">
        <v>1.28</v>
      </c>
      <c r="I141">
        <v>0</v>
      </c>
      <c r="J141">
        <v>1995</v>
      </c>
      <c r="K141" t="s">
        <v>18</v>
      </c>
      <c r="L141" t="s">
        <v>23</v>
      </c>
      <c r="M141" t="str">
        <f t="shared" si="2"/>
        <v>No</v>
      </c>
    </row>
    <row r="142" spans="1:13" x14ac:dyDescent="0.3">
      <c r="A142" t="s">
        <v>168</v>
      </c>
      <c r="B142" t="s">
        <v>39</v>
      </c>
      <c r="C142">
        <v>2</v>
      </c>
      <c r="D142">
        <v>138.85</v>
      </c>
      <c r="E142">
        <v>1038.8900000000001</v>
      </c>
      <c r="F142">
        <v>54.93</v>
      </c>
      <c r="G142">
        <v>2958</v>
      </c>
      <c r="H142">
        <v>7.67</v>
      </c>
      <c r="I142">
        <v>0</v>
      </c>
      <c r="J142">
        <v>2001</v>
      </c>
      <c r="K142" t="s">
        <v>18</v>
      </c>
      <c r="L142" t="s">
        <v>15</v>
      </c>
      <c r="M142" t="str">
        <f t="shared" si="2"/>
        <v>No</v>
      </c>
    </row>
    <row r="143" spans="1:13" x14ac:dyDescent="0.3">
      <c r="A143" t="s">
        <v>169</v>
      </c>
      <c r="B143" t="s">
        <v>39</v>
      </c>
      <c r="C143">
        <v>1</v>
      </c>
      <c r="D143">
        <v>297.11</v>
      </c>
      <c r="E143">
        <v>2768.47</v>
      </c>
      <c r="F143">
        <v>61.33</v>
      </c>
      <c r="G143">
        <v>2372</v>
      </c>
      <c r="H143">
        <v>6.74</v>
      </c>
      <c r="I143">
        <v>0</v>
      </c>
      <c r="J143">
        <v>2002</v>
      </c>
      <c r="K143" t="s">
        <v>32</v>
      </c>
      <c r="L143" t="s">
        <v>15</v>
      </c>
      <c r="M143" t="str">
        <f t="shared" si="2"/>
        <v>No</v>
      </c>
    </row>
    <row r="144" spans="1:13" x14ac:dyDescent="0.3">
      <c r="A144" t="s">
        <v>170</v>
      </c>
      <c r="B144" t="s">
        <v>21</v>
      </c>
      <c r="C144">
        <v>2</v>
      </c>
      <c r="D144">
        <v>0.56999999999999995</v>
      </c>
      <c r="E144">
        <v>2.48</v>
      </c>
      <c r="F144">
        <v>22.69</v>
      </c>
      <c r="G144">
        <v>4226</v>
      </c>
      <c r="H144">
        <v>4.41</v>
      </c>
      <c r="I144">
        <v>0</v>
      </c>
      <c r="J144">
        <v>1993</v>
      </c>
      <c r="K144" t="s">
        <v>18</v>
      </c>
      <c r="L144" t="s">
        <v>15</v>
      </c>
      <c r="M144" t="str">
        <f t="shared" si="2"/>
        <v>No</v>
      </c>
    </row>
    <row r="145" spans="1:13" x14ac:dyDescent="0.3">
      <c r="A145" t="s">
        <v>171</v>
      </c>
      <c r="B145" t="s">
        <v>25</v>
      </c>
      <c r="C145">
        <v>5</v>
      </c>
      <c r="D145">
        <v>56.05</v>
      </c>
      <c r="E145">
        <v>169.89</v>
      </c>
      <c r="F145">
        <v>84.71</v>
      </c>
      <c r="G145">
        <v>281</v>
      </c>
      <c r="H145">
        <v>5.54</v>
      </c>
      <c r="I145">
        <v>1</v>
      </c>
      <c r="J145">
        <v>1991</v>
      </c>
      <c r="K145" t="s">
        <v>32</v>
      </c>
      <c r="L145" t="s">
        <v>15</v>
      </c>
      <c r="M145" t="str">
        <f t="shared" si="2"/>
        <v>No</v>
      </c>
    </row>
    <row r="146" spans="1:13" x14ac:dyDescent="0.3">
      <c r="A146" t="s">
        <v>172</v>
      </c>
      <c r="B146" t="s">
        <v>21</v>
      </c>
      <c r="C146">
        <v>3</v>
      </c>
      <c r="D146">
        <v>115.5</v>
      </c>
      <c r="E146">
        <v>1230.75</v>
      </c>
      <c r="F146">
        <v>42.92</v>
      </c>
      <c r="G146">
        <v>2004</v>
      </c>
      <c r="H146">
        <v>3.19</v>
      </c>
      <c r="I146">
        <v>0</v>
      </c>
      <c r="J146">
        <v>2015</v>
      </c>
      <c r="K146" t="s">
        <v>14</v>
      </c>
      <c r="L146" t="s">
        <v>15</v>
      </c>
      <c r="M146" t="str">
        <f t="shared" si="2"/>
        <v>Yes</v>
      </c>
    </row>
    <row r="147" spans="1:13" x14ac:dyDescent="0.3">
      <c r="A147" t="s">
        <v>173</v>
      </c>
      <c r="B147" t="s">
        <v>17</v>
      </c>
      <c r="C147">
        <v>1</v>
      </c>
      <c r="D147">
        <v>279.81</v>
      </c>
      <c r="E147">
        <v>2569.2399999999998</v>
      </c>
      <c r="F147">
        <v>14.18</v>
      </c>
      <c r="G147">
        <v>1232</v>
      </c>
      <c r="H147">
        <v>4.88</v>
      </c>
      <c r="I147">
        <v>1</v>
      </c>
      <c r="J147">
        <v>2016</v>
      </c>
      <c r="K147" t="s">
        <v>41</v>
      </c>
      <c r="L147" t="s">
        <v>23</v>
      </c>
      <c r="M147" t="str">
        <f t="shared" si="2"/>
        <v>Yes</v>
      </c>
    </row>
    <row r="148" spans="1:13" x14ac:dyDescent="0.3">
      <c r="A148" t="s">
        <v>174</v>
      </c>
      <c r="B148" t="s">
        <v>17</v>
      </c>
      <c r="C148">
        <v>2</v>
      </c>
      <c r="D148">
        <v>21.47</v>
      </c>
      <c r="E148">
        <v>217.33</v>
      </c>
      <c r="F148">
        <v>66.45</v>
      </c>
      <c r="G148">
        <v>3757</v>
      </c>
      <c r="H148">
        <v>5.12</v>
      </c>
      <c r="I148">
        <v>0</v>
      </c>
      <c r="J148">
        <v>2016</v>
      </c>
      <c r="K148" t="s">
        <v>14</v>
      </c>
      <c r="L148" t="s">
        <v>15</v>
      </c>
      <c r="M148" t="str">
        <f t="shared" si="2"/>
        <v>Yes</v>
      </c>
    </row>
    <row r="149" spans="1:13" x14ac:dyDescent="0.3">
      <c r="A149" t="s">
        <v>175</v>
      </c>
      <c r="B149" t="s">
        <v>25</v>
      </c>
      <c r="C149">
        <v>1</v>
      </c>
      <c r="D149">
        <v>3.34</v>
      </c>
      <c r="E149">
        <v>41.83</v>
      </c>
      <c r="F149">
        <v>21.69</v>
      </c>
      <c r="G149">
        <v>3740</v>
      </c>
      <c r="H149">
        <v>3.93</v>
      </c>
      <c r="I149">
        <v>0</v>
      </c>
      <c r="J149">
        <v>2004</v>
      </c>
      <c r="K149" t="s">
        <v>28</v>
      </c>
      <c r="L149" t="s">
        <v>15</v>
      </c>
      <c r="M149" t="str">
        <f t="shared" si="2"/>
        <v>No</v>
      </c>
    </row>
    <row r="150" spans="1:13" x14ac:dyDescent="0.3">
      <c r="A150" t="s">
        <v>176</v>
      </c>
      <c r="B150" t="s">
        <v>21</v>
      </c>
      <c r="C150">
        <v>1</v>
      </c>
      <c r="D150">
        <v>16.28</v>
      </c>
      <c r="E150">
        <v>175.16</v>
      </c>
      <c r="F150">
        <v>9.85</v>
      </c>
      <c r="G150">
        <v>700</v>
      </c>
      <c r="H150">
        <v>9.08</v>
      </c>
      <c r="I150">
        <v>0</v>
      </c>
      <c r="J150">
        <v>1997</v>
      </c>
      <c r="K150" t="s">
        <v>28</v>
      </c>
      <c r="L150" t="s">
        <v>15</v>
      </c>
      <c r="M150" t="str">
        <f t="shared" si="2"/>
        <v>No</v>
      </c>
    </row>
    <row r="151" spans="1:13" x14ac:dyDescent="0.3">
      <c r="A151" t="s">
        <v>177</v>
      </c>
      <c r="B151" t="s">
        <v>17</v>
      </c>
      <c r="C151">
        <v>3</v>
      </c>
      <c r="D151">
        <v>27.02</v>
      </c>
      <c r="E151">
        <v>137.72999999999999</v>
      </c>
      <c r="F151">
        <v>86.21</v>
      </c>
      <c r="G151">
        <v>1314</v>
      </c>
      <c r="H151">
        <v>0.26</v>
      </c>
      <c r="I151">
        <v>0</v>
      </c>
      <c r="J151">
        <v>1996</v>
      </c>
      <c r="K151" t="s">
        <v>28</v>
      </c>
      <c r="L151" t="s">
        <v>15</v>
      </c>
      <c r="M151" t="str">
        <f t="shared" si="2"/>
        <v>No</v>
      </c>
    </row>
    <row r="152" spans="1:13" x14ac:dyDescent="0.3">
      <c r="A152" t="s">
        <v>178</v>
      </c>
      <c r="B152" t="s">
        <v>13</v>
      </c>
      <c r="C152">
        <v>5</v>
      </c>
      <c r="D152">
        <v>11.76</v>
      </c>
      <c r="E152">
        <v>86.19</v>
      </c>
      <c r="F152">
        <v>46.07</v>
      </c>
      <c r="G152">
        <v>4157</v>
      </c>
      <c r="H152">
        <v>7.84</v>
      </c>
      <c r="I152">
        <v>1</v>
      </c>
      <c r="J152">
        <v>2001</v>
      </c>
      <c r="K152" t="s">
        <v>32</v>
      </c>
      <c r="L152" t="s">
        <v>23</v>
      </c>
      <c r="M152" t="str">
        <f t="shared" si="2"/>
        <v>No</v>
      </c>
    </row>
    <row r="153" spans="1:13" x14ac:dyDescent="0.3">
      <c r="A153" t="s">
        <v>179</v>
      </c>
      <c r="B153" t="s">
        <v>21</v>
      </c>
      <c r="C153">
        <v>1</v>
      </c>
      <c r="D153">
        <v>144.19</v>
      </c>
      <c r="E153">
        <v>2000.02</v>
      </c>
      <c r="F153">
        <v>74.95</v>
      </c>
      <c r="G153">
        <v>3239</v>
      </c>
      <c r="H153">
        <v>1.33</v>
      </c>
      <c r="I153">
        <v>1</v>
      </c>
      <c r="J153">
        <v>2002</v>
      </c>
      <c r="K153" t="s">
        <v>18</v>
      </c>
      <c r="L153" t="s">
        <v>15</v>
      </c>
      <c r="M153" t="str">
        <f t="shared" si="2"/>
        <v>No</v>
      </c>
    </row>
    <row r="154" spans="1:13" x14ac:dyDescent="0.3">
      <c r="A154" t="s">
        <v>180</v>
      </c>
      <c r="B154" t="s">
        <v>13</v>
      </c>
      <c r="C154">
        <v>2</v>
      </c>
      <c r="D154">
        <v>174.44</v>
      </c>
      <c r="E154">
        <v>2135.0300000000002</v>
      </c>
      <c r="F154">
        <v>29.13</v>
      </c>
      <c r="G154">
        <v>4119</v>
      </c>
      <c r="H154">
        <v>8</v>
      </c>
      <c r="I154">
        <v>1</v>
      </c>
      <c r="J154">
        <v>2006</v>
      </c>
      <c r="K154" t="s">
        <v>14</v>
      </c>
      <c r="L154" t="s">
        <v>15</v>
      </c>
      <c r="M154" t="str">
        <f t="shared" si="2"/>
        <v>No</v>
      </c>
    </row>
    <row r="155" spans="1:13" x14ac:dyDescent="0.3">
      <c r="A155" t="s">
        <v>181</v>
      </c>
      <c r="B155" t="s">
        <v>17</v>
      </c>
      <c r="C155">
        <v>4</v>
      </c>
      <c r="D155">
        <v>81.87</v>
      </c>
      <c r="E155">
        <v>792.47</v>
      </c>
      <c r="F155">
        <v>78.72</v>
      </c>
      <c r="G155">
        <v>2316</v>
      </c>
      <c r="H155">
        <v>6.2</v>
      </c>
      <c r="I155">
        <v>1</v>
      </c>
      <c r="J155">
        <v>2006</v>
      </c>
      <c r="K155" t="s">
        <v>14</v>
      </c>
      <c r="L155" t="s">
        <v>15</v>
      </c>
      <c r="M155" t="str">
        <f t="shared" si="2"/>
        <v>No</v>
      </c>
    </row>
    <row r="156" spans="1:13" x14ac:dyDescent="0.3">
      <c r="A156" t="s">
        <v>182</v>
      </c>
      <c r="B156" t="s">
        <v>39</v>
      </c>
      <c r="C156">
        <v>1</v>
      </c>
      <c r="D156">
        <v>119.79</v>
      </c>
      <c r="E156">
        <v>726.85</v>
      </c>
      <c r="F156">
        <v>11.28</v>
      </c>
      <c r="G156">
        <v>2846</v>
      </c>
      <c r="H156">
        <v>8.4499999999999993</v>
      </c>
      <c r="I156">
        <v>1</v>
      </c>
      <c r="J156">
        <v>2010</v>
      </c>
      <c r="K156" t="s">
        <v>14</v>
      </c>
      <c r="L156" t="s">
        <v>23</v>
      </c>
      <c r="M156" t="str">
        <f t="shared" si="2"/>
        <v>No</v>
      </c>
    </row>
    <row r="157" spans="1:13" x14ac:dyDescent="0.3">
      <c r="A157" t="s">
        <v>183</v>
      </c>
      <c r="B157" t="s">
        <v>17</v>
      </c>
      <c r="C157">
        <v>1</v>
      </c>
      <c r="D157">
        <v>27.96</v>
      </c>
      <c r="E157">
        <v>185.23</v>
      </c>
      <c r="F157">
        <v>35.659999999999997</v>
      </c>
      <c r="G157">
        <v>4213</v>
      </c>
      <c r="H157">
        <v>1.07</v>
      </c>
      <c r="I157">
        <v>0</v>
      </c>
      <c r="J157">
        <v>1997</v>
      </c>
      <c r="K157" t="s">
        <v>14</v>
      </c>
      <c r="L157" t="s">
        <v>23</v>
      </c>
      <c r="M157" t="str">
        <f t="shared" si="2"/>
        <v>No</v>
      </c>
    </row>
    <row r="158" spans="1:13" x14ac:dyDescent="0.3">
      <c r="A158" t="s">
        <v>184</v>
      </c>
      <c r="B158" t="s">
        <v>13</v>
      </c>
      <c r="C158">
        <v>3</v>
      </c>
      <c r="D158">
        <v>101.24</v>
      </c>
      <c r="E158">
        <v>1192.96</v>
      </c>
      <c r="F158">
        <v>97.81</v>
      </c>
      <c r="G158">
        <v>3564</v>
      </c>
      <c r="H158">
        <v>5.63</v>
      </c>
      <c r="I158">
        <v>1</v>
      </c>
      <c r="J158">
        <v>1994</v>
      </c>
      <c r="K158" t="s">
        <v>28</v>
      </c>
      <c r="L158" t="s">
        <v>26</v>
      </c>
      <c r="M158" t="str">
        <f t="shared" si="2"/>
        <v>No</v>
      </c>
    </row>
    <row r="159" spans="1:13" x14ac:dyDescent="0.3">
      <c r="A159" t="s">
        <v>185</v>
      </c>
      <c r="B159" t="s">
        <v>30</v>
      </c>
      <c r="C159">
        <v>5</v>
      </c>
      <c r="D159">
        <v>156.99</v>
      </c>
      <c r="E159">
        <v>2074.48</v>
      </c>
      <c r="F159">
        <v>79.42</v>
      </c>
      <c r="G159">
        <v>3403</v>
      </c>
      <c r="H159">
        <v>5.0599999999999996</v>
      </c>
      <c r="I159">
        <v>1</v>
      </c>
      <c r="J159">
        <v>2015</v>
      </c>
      <c r="K159" t="s">
        <v>14</v>
      </c>
      <c r="L159" t="s">
        <v>26</v>
      </c>
      <c r="M159" t="str">
        <f t="shared" si="2"/>
        <v>Yes</v>
      </c>
    </row>
    <row r="160" spans="1:13" x14ac:dyDescent="0.3">
      <c r="A160" t="s">
        <v>186</v>
      </c>
      <c r="B160" t="s">
        <v>75</v>
      </c>
      <c r="C160">
        <v>4</v>
      </c>
      <c r="D160">
        <v>219.82</v>
      </c>
      <c r="E160">
        <v>2430.5700000000002</v>
      </c>
      <c r="F160">
        <v>49.78</v>
      </c>
      <c r="G160">
        <v>546</v>
      </c>
      <c r="H160">
        <v>7.09</v>
      </c>
      <c r="I160">
        <v>0</v>
      </c>
      <c r="J160">
        <v>2005</v>
      </c>
      <c r="K160" t="s">
        <v>18</v>
      </c>
      <c r="L160" t="s">
        <v>15</v>
      </c>
      <c r="M160" t="str">
        <f t="shared" si="2"/>
        <v>No</v>
      </c>
    </row>
    <row r="161" spans="1:13" x14ac:dyDescent="0.3">
      <c r="A161" t="s">
        <v>187</v>
      </c>
      <c r="B161" t="s">
        <v>34</v>
      </c>
      <c r="C161">
        <v>2</v>
      </c>
      <c r="D161">
        <v>1.5</v>
      </c>
      <c r="E161">
        <v>19.07</v>
      </c>
      <c r="F161">
        <v>34.04</v>
      </c>
      <c r="G161">
        <v>2699</v>
      </c>
      <c r="H161">
        <v>5.39</v>
      </c>
      <c r="I161">
        <v>1</v>
      </c>
      <c r="J161">
        <v>2017</v>
      </c>
      <c r="K161" t="s">
        <v>28</v>
      </c>
      <c r="L161" t="s">
        <v>15</v>
      </c>
      <c r="M161" t="str">
        <f t="shared" si="2"/>
        <v>Yes</v>
      </c>
    </row>
    <row r="162" spans="1:13" x14ac:dyDescent="0.3">
      <c r="A162" t="s">
        <v>188</v>
      </c>
      <c r="B162" t="s">
        <v>21</v>
      </c>
      <c r="C162">
        <v>4</v>
      </c>
      <c r="D162">
        <v>140.46</v>
      </c>
      <c r="E162">
        <v>1713.59</v>
      </c>
      <c r="F162">
        <v>87.23</v>
      </c>
      <c r="G162">
        <v>4679</v>
      </c>
      <c r="H162">
        <v>5.45</v>
      </c>
      <c r="I162">
        <v>0</v>
      </c>
      <c r="J162">
        <v>2018</v>
      </c>
      <c r="K162" t="s">
        <v>14</v>
      </c>
      <c r="L162" t="s">
        <v>15</v>
      </c>
      <c r="M162" t="str">
        <f t="shared" si="2"/>
        <v>Yes</v>
      </c>
    </row>
    <row r="163" spans="1:13" x14ac:dyDescent="0.3">
      <c r="A163" t="s">
        <v>189</v>
      </c>
      <c r="B163" t="s">
        <v>30</v>
      </c>
      <c r="C163">
        <v>2</v>
      </c>
      <c r="D163">
        <v>89.45</v>
      </c>
      <c r="E163">
        <v>429.04</v>
      </c>
      <c r="F163">
        <v>54.53</v>
      </c>
      <c r="G163">
        <v>1093</v>
      </c>
      <c r="H163">
        <v>4.3499999999999996</v>
      </c>
      <c r="I163">
        <v>0</v>
      </c>
      <c r="J163">
        <v>2001</v>
      </c>
      <c r="K163" t="s">
        <v>32</v>
      </c>
      <c r="L163" t="s">
        <v>15</v>
      </c>
      <c r="M163" t="str">
        <f t="shared" si="2"/>
        <v>No</v>
      </c>
    </row>
    <row r="164" spans="1:13" x14ac:dyDescent="0.3">
      <c r="A164" t="s">
        <v>190</v>
      </c>
      <c r="B164" t="s">
        <v>17</v>
      </c>
      <c r="C164">
        <v>5</v>
      </c>
      <c r="D164">
        <v>255.92</v>
      </c>
      <c r="E164">
        <v>2069.71</v>
      </c>
      <c r="F164">
        <v>75.87</v>
      </c>
      <c r="G164">
        <v>3368</v>
      </c>
      <c r="H164">
        <v>3.16</v>
      </c>
      <c r="I164">
        <v>1</v>
      </c>
      <c r="J164">
        <v>2019</v>
      </c>
      <c r="K164" t="s">
        <v>41</v>
      </c>
      <c r="L164" t="s">
        <v>15</v>
      </c>
      <c r="M164" t="str">
        <f t="shared" si="2"/>
        <v>Yes</v>
      </c>
    </row>
    <row r="165" spans="1:13" x14ac:dyDescent="0.3">
      <c r="A165" t="s">
        <v>191</v>
      </c>
      <c r="B165" t="s">
        <v>39</v>
      </c>
      <c r="C165">
        <v>2</v>
      </c>
      <c r="D165">
        <v>214.81</v>
      </c>
      <c r="E165">
        <v>1038.78</v>
      </c>
      <c r="F165">
        <v>75.44</v>
      </c>
      <c r="G165">
        <v>29</v>
      </c>
      <c r="H165">
        <v>4.87</v>
      </c>
      <c r="I165">
        <v>0</v>
      </c>
      <c r="J165">
        <v>2012</v>
      </c>
      <c r="K165" t="s">
        <v>41</v>
      </c>
      <c r="L165" t="s">
        <v>26</v>
      </c>
      <c r="M165" t="str">
        <f t="shared" si="2"/>
        <v>Yes</v>
      </c>
    </row>
    <row r="166" spans="1:13" x14ac:dyDescent="0.3">
      <c r="A166" t="s">
        <v>192</v>
      </c>
      <c r="B166" t="s">
        <v>25</v>
      </c>
      <c r="C166">
        <v>3</v>
      </c>
      <c r="D166">
        <v>176.94</v>
      </c>
      <c r="E166">
        <v>1030.29</v>
      </c>
      <c r="F166">
        <v>1.89</v>
      </c>
      <c r="G166">
        <v>1577</v>
      </c>
      <c r="H166">
        <v>1.27</v>
      </c>
      <c r="I166">
        <v>0</v>
      </c>
      <c r="J166">
        <v>2005</v>
      </c>
      <c r="K166" t="s">
        <v>41</v>
      </c>
      <c r="L166" t="s">
        <v>15</v>
      </c>
      <c r="M166" t="str">
        <f t="shared" si="2"/>
        <v>No</v>
      </c>
    </row>
    <row r="167" spans="1:13" x14ac:dyDescent="0.3">
      <c r="A167" t="s">
        <v>193</v>
      </c>
      <c r="B167" t="s">
        <v>17</v>
      </c>
      <c r="C167">
        <v>3</v>
      </c>
      <c r="D167">
        <v>83.54</v>
      </c>
      <c r="E167">
        <v>1122.04</v>
      </c>
      <c r="F167">
        <v>12.71</v>
      </c>
      <c r="G167">
        <v>2963</v>
      </c>
      <c r="H167">
        <v>9.6199999999999992</v>
      </c>
      <c r="I167">
        <v>1</v>
      </c>
      <c r="J167">
        <v>2003</v>
      </c>
      <c r="K167" t="s">
        <v>28</v>
      </c>
      <c r="L167" t="s">
        <v>15</v>
      </c>
      <c r="M167" t="str">
        <f t="shared" si="2"/>
        <v>No</v>
      </c>
    </row>
    <row r="168" spans="1:13" x14ac:dyDescent="0.3">
      <c r="A168" t="s">
        <v>194</v>
      </c>
      <c r="B168" t="s">
        <v>39</v>
      </c>
      <c r="C168">
        <v>3</v>
      </c>
      <c r="D168">
        <v>273.14999999999998</v>
      </c>
      <c r="E168">
        <v>2369.5</v>
      </c>
      <c r="F168">
        <v>66</v>
      </c>
      <c r="G168">
        <v>4241</v>
      </c>
      <c r="H168">
        <v>7.17</v>
      </c>
      <c r="I168">
        <v>1</v>
      </c>
      <c r="J168">
        <v>1999</v>
      </c>
      <c r="K168" t="s">
        <v>14</v>
      </c>
      <c r="L168" t="s">
        <v>23</v>
      </c>
      <c r="M168" t="str">
        <f t="shared" si="2"/>
        <v>No</v>
      </c>
    </row>
    <row r="169" spans="1:13" x14ac:dyDescent="0.3">
      <c r="A169" t="s">
        <v>195</v>
      </c>
      <c r="B169" t="s">
        <v>75</v>
      </c>
      <c r="C169">
        <v>3</v>
      </c>
      <c r="D169">
        <v>14.01</v>
      </c>
      <c r="E169">
        <v>132.03</v>
      </c>
      <c r="F169">
        <v>16.25</v>
      </c>
      <c r="G169">
        <v>1772</v>
      </c>
      <c r="H169">
        <v>9.5299999999999994</v>
      </c>
      <c r="I169">
        <v>0</v>
      </c>
      <c r="J169">
        <v>1996</v>
      </c>
      <c r="K169" t="s">
        <v>28</v>
      </c>
      <c r="L169" t="s">
        <v>23</v>
      </c>
      <c r="M169" t="str">
        <f t="shared" si="2"/>
        <v>No</v>
      </c>
    </row>
    <row r="170" spans="1:13" x14ac:dyDescent="0.3">
      <c r="A170" t="s">
        <v>196</v>
      </c>
      <c r="B170" t="s">
        <v>17</v>
      </c>
      <c r="C170">
        <v>4</v>
      </c>
      <c r="D170">
        <v>33.29</v>
      </c>
      <c r="E170">
        <v>171.16</v>
      </c>
      <c r="F170">
        <v>25.62</v>
      </c>
      <c r="G170">
        <v>4748</v>
      </c>
      <c r="H170">
        <v>2.34</v>
      </c>
      <c r="I170">
        <v>1</v>
      </c>
      <c r="J170">
        <v>2018</v>
      </c>
      <c r="K170" t="s">
        <v>18</v>
      </c>
      <c r="L170" t="s">
        <v>15</v>
      </c>
      <c r="M170" t="str">
        <f t="shared" si="2"/>
        <v>Yes</v>
      </c>
    </row>
    <row r="171" spans="1:13" x14ac:dyDescent="0.3">
      <c r="A171" t="s">
        <v>197</v>
      </c>
      <c r="B171" t="s">
        <v>13</v>
      </c>
      <c r="C171">
        <v>5</v>
      </c>
      <c r="D171">
        <v>117.79</v>
      </c>
      <c r="E171">
        <v>794.76</v>
      </c>
      <c r="F171">
        <v>94.67</v>
      </c>
      <c r="G171">
        <v>2240</v>
      </c>
      <c r="H171">
        <v>8.81</v>
      </c>
      <c r="I171">
        <v>0</v>
      </c>
      <c r="J171">
        <v>1992</v>
      </c>
      <c r="K171" t="s">
        <v>32</v>
      </c>
      <c r="L171" t="s">
        <v>15</v>
      </c>
      <c r="M171" t="str">
        <f t="shared" si="2"/>
        <v>No</v>
      </c>
    </row>
    <row r="172" spans="1:13" x14ac:dyDescent="0.3">
      <c r="A172" t="s">
        <v>198</v>
      </c>
      <c r="B172" t="s">
        <v>25</v>
      </c>
      <c r="C172">
        <v>2</v>
      </c>
      <c r="D172">
        <v>37.770000000000003</v>
      </c>
      <c r="E172">
        <v>217.67</v>
      </c>
      <c r="F172">
        <v>56.06</v>
      </c>
      <c r="G172">
        <v>205</v>
      </c>
      <c r="H172">
        <v>8.11</v>
      </c>
      <c r="I172">
        <v>0</v>
      </c>
      <c r="J172">
        <v>2004</v>
      </c>
      <c r="K172" t="s">
        <v>32</v>
      </c>
      <c r="L172" t="s">
        <v>15</v>
      </c>
      <c r="M172" t="str">
        <f t="shared" si="2"/>
        <v>No</v>
      </c>
    </row>
    <row r="173" spans="1:13" x14ac:dyDescent="0.3">
      <c r="A173" t="s">
        <v>199</v>
      </c>
      <c r="B173" t="s">
        <v>39</v>
      </c>
      <c r="C173">
        <v>2</v>
      </c>
      <c r="D173">
        <v>286.95</v>
      </c>
      <c r="E173">
        <v>1570.83</v>
      </c>
      <c r="F173">
        <v>75.099999999999994</v>
      </c>
      <c r="G173">
        <v>3203</v>
      </c>
      <c r="H173">
        <v>6.8</v>
      </c>
      <c r="I173">
        <v>1</v>
      </c>
      <c r="J173">
        <v>2008</v>
      </c>
      <c r="K173" t="s">
        <v>41</v>
      </c>
      <c r="L173" t="s">
        <v>23</v>
      </c>
      <c r="M173" t="str">
        <f t="shared" si="2"/>
        <v>No</v>
      </c>
    </row>
    <row r="174" spans="1:13" x14ac:dyDescent="0.3">
      <c r="A174" t="s">
        <v>200</v>
      </c>
      <c r="B174" t="s">
        <v>39</v>
      </c>
      <c r="C174">
        <v>3</v>
      </c>
      <c r="D174">
        <v>239.5</v>
      </c>
      <c r="E174">
        <v>2552</v>
      </c>
      <c r="F174">
        <v>55.84</v>
      </c>
      <c r="G174">
        <v>261</v>
      </c>
      <c r="H174">
        <v>6.29</v>
      </c>
      <c r="I174">
        <v>1</v>
      </c>
      <c r="J174">
        <v>2002</v>
      </c>
      <c r="K174" t="s">
        <v>41</v>
      </c>
      <c r="L174" t="s">
        <v>15</v>
      </c>
      <c r="M174" t="str">
        <f t="shared" si="2"/>
        <v>No</v>
      </c>
    </row>
    <row r="175" spans="1:13" x14ac:dyDescent="0.3">
      <c r="A175" t="s">
        <v>201</v>
      </c>
      <c r="B175" t="s">
        <v>39</v>
      </c>
      <c r="C175">
        <v>3</v>
      </c>
      <c r="D175">
        <v>78.069999999999993</v>
      </c>
      <c r="E175">
        <v>474.87</v>
      </c>
      <c r="F175">
        <v>55.3</v>
      </c>
      <c r="G175">
        <v>3752</v>
      </c>
      <c r="H175">
        <v>3.23</v>
      </c>
      <c r="I175">
        <v>0</v>
      </c>
      <c r="J175">
        <v>2010</v>
      </c>
      <c r="K175" t="s">
        <v>41</v>
      </c>
      <c r="L175" t="s">
        <v>15</v>
      </c>
      <c r="M175" t="str">
        <f t="shared" si="2"/>
        <v>No</v>
      </c>
    </row>
    <row r="176" spans="1:13" x14ac:dyDescent="0.3">
      <c r="A176" t="s">
        <v>202</v>
      </c>
      <c r="B176" t="s">
        <v>75</v>
      </c>
      <c r="C176">
        <v>1</v>
      </c>
      <c r="D176">
        <v>176.77</v>
      </c>
      <c r="E176">
        <v>1870.97</v>
      </c>
      <c r="F176">
        <v>9.51</v>
      </c>
      <c r="G176">
        <v>4647</v>
      </c>
      <c r="H176">
        <v>8.18</v>
      </c>
      <c r="I176">
        <v>1</v>
      </c>
      <c r="J176">
        <v>2016</v>
      </c>
      <c r="K176" t="s">
        <v>14</v>
      </c>
      <c r="L176" t="s">
        <v>23</v>
      </c>
      <c r="M176" t="str">
        <f t="shared" si="2"/>
        <v>Yes</v>
      </c>
    </row>
    <row r="177" spans="1:13" x14ac:dyDescent="0.3">
      <c r="A177" t="s">
        <v>203</v>
      </c>
      <c r="B177" t="s">
        <v>17</v>
      </c>
      <c r="C177">
        <v>5</v>
      </c>
      <c r="D177">
        <v>294.70999999999998</v>
      </c>
      <c r="E177">
        <v>1090.8599999999999</v>
      </c>
      <c r="F177">
        <v>34.43</v>
      </c>
      <c r="G177">
        <v>2246</v>
      </c>
      <c r="H177">
        <v>5.07</v>
      </c>
      <c r="I177">
        <v>1</v>
      </c>
      <c r="J177">
        <v>2018</v>
      </c>
      <c r="K177" t="s">
        <v>18</v>
      </c>
      <c r="L177" t="s">
        <v>15</v>
      </c>
      <c r="M177" t="str">
        <f t="shared" si="2"/>
        <v>Yes</v>
      </c>
    </row>
    <row r="178" spans="1:13" x14ac:dyDescent="0.3">
      <c r="A178" t="s">
        <v>204</v>
      </c>
      <c r="B178" t="s">
        <v>75</v>
      </c>
      <c r="C178">
        <v>4</v>
      </c>
      <c r="D178">
        <v>265.32</v>
      </c>
      <c r="E178">
        <v>1247.3499999999999</v>
      </c>
      <c r="F178">
        <v>28.31</v>
      </c>
      <c r="G178">
        <v>3180</v>
      </c>
      <c r="H178">
        <v>0.8</v>
      </c>
      <c r="I178">
        <v>0</v>
      </c>
      <c r="J178">
        <v>2009</v>
      </c>
      <c r="K178" t="s">
        <v>18</v>
      </c>
      <c r="L178" t="s">
        <v>26</v>
      </c>
      <c r="M178" t="str">
        <f t="shared" si="2"/>
        <v>No</v>
      </c>
    </row>
    <row r="179" spans="1:13" x14ac:dyDescent="0.3">
      <c r="A179" t="s">
        <v>205</v>
      </c>
      <c r="B179" t="s">
        <v>21</v>
      </c>
      <c r="C179">
        <v>2</v>
      </c>
      <c r="D179">
        <v>180.44</v>
      </c>
      <c r="E179">
        <v>1135.78</v>
      </c>
      <c r="F179">
        <v>39.130000000000003</v>
      </c>
      <c r="G179">
        <v>3611</v>
      </c>
      <c r="H179">
        <v>3.2</v>
      </c>
      <c r="I179">
        <v>0</v>
      </c>
      <c r="J179">
        <v>2014</v>
      </c>
      <c r="K179" t="s">
        <v>18</v>
      </c>
      <c r="L179" t="s">
        <v>15</v>
      </c>
      <c r="M179" t="str">
        <f t="shared" si="2"/>
        <v>Yes</v>
      </c>
    </row>
    <row r="180" spans="1:13" x14ac:dyDescent="0.3">
      <c r="A180" t="s">
        <v>206</v>
      </c>
      <c r="B180" t="s">
        <v>34</v>
      </c>
      <c r="C180">
        <v>1</v>
      </c>
      <c r="D180">
        <v>271.17</v>
      </c>
      <c r="E180">
        <v>2756.32</v>
      </c>
      <c r="F180">
        <v>79.849999999999994</v>
      </c>
      <c r="G180">
        <v>3341</v>
      </c>
      <c r="H180">
        <v>9.36</v>
      </c>
      <c r="I180">
        <v>0</v>
      </c>
      <c r="J180">
        <v>1995</v>
      </c>
      <c r="K180" t="s">
        <v>18</v>
      </c>
      <c r="L180" t="s">
        <v>23</v>
      </c>
      <c r="M180" t="str">
        <f t="shared" si="2"/>
        <v>No</v>
      </c>
    </row>
    <row r="181" spans="1:13" x14ac:dyDescent="0.3">
      <c r="A181" t="s">
        <v>207</v>
      </c>
      <c r="B181" t="s">
        <v>34</v>
      </c>
      <c r="C181">
        <v>1</v>
      </c>
      <c r="D181">
        <v>296.76</v>
      </c>
      <c r="E181">
        <v>3297.03</v>
      </c>
      <c r="F181">
        <v>37.26</v>
      </c>
      <c r="G181">
        <v>4902</v>
      </c>
      <c r="H181">
        <v>8.52</v>
      </c>
      <c r="I181">
        <v>1</v>
      </c>
      <c r="J181">
        <v>1991</v>
      </c>
      <c r="K181" t="s">
        <v>41</v>
      </c>
      <c r="L181" t="s">
        <v>23</v>
      </c>
      <c r="M181" t="str">
        <f t="shared" si="2"/>
        <v>No</v>
      </c>
    </row>
    <row r="182" spans="1:13" x14ac:dyDescent="0.3">
      <c r="A182" t="s">
        <v>208</v>
      </c>
      <c r="B182" t="s">
        <v>21</v>
      </c>
      <c r="C182">
        <v>2</v>
      </c>
      <c r="D182">
        <v>223.13</v>
      </c>
      <c r="E182">
        <v>1854.79</v>
      </c>
      <c r="F182">
        <v>45.22</v>
      </c>
      <c r="G182">
        <v>418</v>
      </c>
      <c r="H182">
        <v>9.82</v>
      </c>
      <c r="I182">
        <v>1</v>
      </c>
      <c r="J182">
        <v>2011</v>
      </c>
      <c r="K182" t="s">
        <v>32</v>
      </c>
      <c r="L182" t="s">
        <v>26</v>
      </c>
      <c r="M182" t="str">
        <f t="shared" si="2"/>
        <v>Yes</v>
      </c>
    </row>
    <row r="183" spans="1:13" x14ac:dyDescent="0.3">
      <c r="A183" t="s">
        <v>209</v>
      </c>
      <c r="B183" t="s">
        <v>17</v>
      </c>
      <c r="C183">
        <v>4</v>
      </c>
      <c r="D183">
        <v>19.96</v>
      </c>
      <c r="E183">
        <v>166.66</v>
      </c>
      <c r="F183">
        <v>39.799999999999997</v>
      </c>
      <c r="G183">
        <v>2019</v>
      </c>
      <c r="H183">
        <v>6.32</v>
      </c>
      <c r="I183">
        <v>1</v>
      </c>
      <c r="J183">
        <v>2021</v>
      </c>
      <c r="K183" t="s">
        <v>41</v>
      </c>
      <c r="L183" t="s">
        <v>23</v>
      </c>
      <c r="M183" t="str">
        <f t="shared" si="2"/>
        <v>Yes</v>
      </c>
    </row>
    <row r="184" spans="1:13" x14ac:dyDescent="0.3">
      <c r="A184" t="s">
        <v>210</v>
      </c>
      <c r="B184" t="s">
        <v>13</v>
      </c>
      <c r="C184">
        <v>1</v>
      </c>
      <c r="D184">
        <v>120.77</v>
      </c>
      <c r="E184">
        <v>1412.31</v>
      </c>
      <c r="F184">
        <v>9.43</v>
      </c>
      <c r="G184">
        <v>1386</v>
      </c>
      <c r="H184">
        <v>2.5499999999999998</v>
      </c>
      <c r="I184">
        <v>1</v>
      </c>
      <c r="J184">
        <v>2005</v>
      </c>
      <c r="K184" t="s">
        <v>18</v>
      </c>
      <c r="L184" t="s">
        <v>15</v>
      </c>
      <c r="M184" t="str">
        <f t="shared" si="2"/>
        <v>No</v>
      </c>
    </row>
    <row r="185" spans="1:13" x14ac:dyDescent="0.3">
      <c r="A185" t="s">
        <v>211</v>
      </c>
      <c r="B185" t="s">
        <v>75</v>
      </c>
      <c r="C185">
        <v>1</v>
      </c>
      <c r="D185">
        <v>251.43</v>
      </c>
      <c r="E185">
        <v>802.02</v>
      </c>
      <c r="F185">
        <v>44.16</v>
      </c>
      <c r="G185">
        <v>1103</v>
      </c>
      <c r="H185">
        <v>1.71</v>
      </c>
      <c r="I185">
        <v>1</v>
      </c>
      <c r="J185">
        <v>2007</v>
      </c>
      <c r="K185" t="s">
        <v>41</v>
      </c>
      <c r="L185" t="s">
        <v>23</v>
      </c>
      <c r="M185" t="str">
        <f t="shared" si="2"/>
        <v>No</v>
      </c>
    </row>
    <row r="186" spans="1:13" x14ac:dyDescent="0.3">
      <c r="A186" t="s">
        <v>212</v>
      </c>
      <c r="B186" t="s">
        <v>25</v>
      </c>
      <c r="C186">
        <v>5</v>
      </c>
      <c r="D186">
        <v>69.56</v>
      </c>
      <c r="E186">
        <v>493.39</v>
      </c>
      <c r="F186">
        <v>19.64</v>
      </c>
      <c r="G186">
        <v>3431</v>
      </c>
      <c r="H186">
        <v>1.95</v>
      </c>
      <c r="I186">
        <v>0</v>
      </c>
      <c r="J186">
        <v>1994</v>
      </c>
      <c r="K186" t="s">
        <v>18</v>
      </c>
      <c r="L186" t="s">
        <v>15</v>
      </c>
      <c r="M186" t="str">
        <f t="shared" si="2"/>
        <v>No</v>
      </c>
    </row>
    <row r="187" spans="1:13" x14ac:dyDescent="0.3">
      <c r="A187" t="s">
        <v>213</v>
      </c>
      <c r="B187" t="s">
        <v>39</v>
      </c>
      <c r="C187">
        <v>4</v>
      </c>
      <c r="D187">
        <v>249.28</v>
      </c>
      <c r="E187">
        <v>3196.89</v>
      </c>
      <c r="F187">
        <v>18.75</v>
      </c>
      <c r="G187">
        <v>3660</v>
      </c>
      <c r="H187">
        <v>0.3</v>
      </c>
      <c r="I187">
        <v>0</v>
      </c>
      <c r="J187">
        <v>2019</v>
      </c>
      <c r="K187" t="s">
        <v>28</v>
      </c>
      <c r="L187" t="s">
        <v>23</v>
      </c>
      <c r="M187" t="str">
        <f t="shared" si="2"/>
        <v>Yes</v>
      </c>
    </row>
    <row r="188" spans="1:13" x14ac:dyDescent="0.3">
      <c r="A188" t="s">
        <v>214</v>
      </c>
      <c r="B188" t="s">
        <v>39</v>
      </c>
      <c r="C188">
        <v>1</v>
      </c>
      <c r="D188">
        <v>36.54</v>
      </c>
      <c r="E188">
        <v>374.12</v>
      </c>
      <c r="F188">
        <v>9.49</v>
      </c>
      <c r="G188">
        <v>914</v>
      </c>
      <c r="H188">
        <v>3.97</v>
      </c>
      <c r="I188">
        <v>0</v>
      </c>
      <c r="J188">
        <v>2008</v>
      </c>
      <c r="K188" t="s">
        <v>32</v>
      </c>
      <c r="L188" t="s">
        <v>15</v>
      </c>
      <c r="M188" t="str">
        <f t="shared" si="2"/>
        <v>No</v>
      </c>
    </row>
    <row r="189" spans="1:13" x14ac:dyDescent="0.3">
      <c r="A189" t="s">
        <v>215</v>
      </c>
      <c r="B189" t="s">
        <v>17</v>
      </c>
      <c r="C189">
        <v>4</v>
      </c>
      <c r="D189">
        <v>14.56</v>
      </c>
      <c r="E189">
        <v>102.6</v>
      </c>
      <c r="F189">
        <v>35.729999999999997</v>
      </c>
      <c r="G189">
        <v>192</v>
      </c>
      <c r="H189">
        <v>2</v>
      </c>
      <c r="I189">
        <v>0</v>
      </c>
      <c r="J189">
        <v>2012</v>
      </c>
      <c r="K189" t="s">
        <v>28</v>
      </c>
      <c r="L189" t="s">
        <v>15</v>
      </c>
      <c r="M189" t="str">
        <f t="shared" si="2"/>
        <v>Yes</v>
      </c>
    </row>
    <row r="190" spans="1:13" x14ac:dyDescent="0.3">
      <c r="A190" t="s">
        <v>216</v>
      </c>
      <c r="B190" t="s">
        <v>13</v>
      </c>
      <c r="C190">
        <v>2</v>
      </c>
      <c r="D190">
        <v>115.54</v>
      </c>
      <c r="E190">
        <v>1602.11</v>
      </c>
      <c r="F190">
        <v>75.77</v>
      </c>
      <c r="G190">
        <v>4049</v>
      </c>
      <c r="H190">
        <v>4.18</v>
      </c>
      <c r="I190">
        <v>1</v>
      </c>
      <c r="J190">
        <v>2002</v>
      </c>
      <c r="K190" t="s">
        <v>14</v>
      </c>
      <c r="L190" t="s">
        <v>23</v>
      </c>
      <c r="M190" t="str">
        <f t="shared" si="2"/>
        <v>No</v>
      </c>
    </row>
    <row r="191" spans="1:13" x14ac:dyDescent="0.3">
      <c r="A191" t="s">
        <v>217</v>
      </c>
      <c r="B191" t="s">
        <v>34</v>
      </c>
      <c r="C191">
        <v>3</v>
      </c>
      <c r="D191">
        <v>11.5</v>
      </c>
      <c r="E191">
        <v>141.12</v>
      </c>
      <c r="F191">
        <v>27.72</v>
      </c>
      <c r="G191">
        <v>3761</v>
      </c>
      <c r="H191">
        <v>9.36</v>
      </c>
      <c r="I191">
        <v>1</v>
      </c>
      <c r="J191">
        <v>2018</v>
      </c>
      <c r="K191" t="s">
        <v>41</v>
      </c>
      <c r="L191" t="s">
        <v>15</v>
      </c>
      <c r="M191" t="str">
        <f t="shared" si="2"/>
        <v>Yes</v>
      </c>
    </row>
    <row r="192" spans="1:13" x14ac:dyDescent="0.3">
      <c r="A192" t="s">
        <v>218</v>
      </c>
      <c r="B192" t="s">
        <v>34</v>
      </c>
      <c r="C192">
        <v>1</v>
      </c>
      <c r="D192">
        <v>287.2</v>
      </c>
      <c r="E192">
        <v>1774.54</v>
      </c>
      <c r="F192">
        <v>31.3</v>
      </c>
      <c r="G192">
        <v>2020</v>
      </c>
      <c r="H192">
        <v>4.3600000000000003</v>
      </c>
      <c r="I192">
        <v>0</v>
      </c>
      <c r="J192">
        <v>2011</v>
      </c>
      <c r="K192" t="s">
        <v>14</v>
      </c>
      <c r="L192" t="s">
        <v>26</v>
      </c>
      <c r="M192" t="str">
        <f t="shared" si="2"/>
        <v>Yes</v>
      </c>
    </row>
    <row r="193" spans="1:13" x14ac:dyDescent="0.3">
      <c r="A193" t="s">
        <v>219</v>
      </c>
      <c r="B193" t="s">
        <v>39</v>
      </c>
      <c r="C193">
        <v>5</v>
      </c>
      <c r="D193">
        <v>247.95</v>
      </c>
      <c r="E193">
        <v>2663.85</v>
      </c>
      <c r="F193">
        <v>64.3</v>
      </c>
      <c r="G193">
        <v>2097</v>
      </c>
      <c r="H193">
        <v>8.7899999999999991</v>
      </c>
      <c r="I193">
        <v>0</v>
      </c>
      <c r="J193">
        <v>1998</v>
      </c>
      <c r="K193" t="s">
        <v>41</v>
      </c>
      <c r="L193" t="s">
        <v>15</v>
      </c>
      <c r="M193" t="str">
        <f t="shared" si="2"/>
        <v>No</v>
      </c>
    </row>
    <row r="194" spans="1:13" x14ac:dyDescent="0.3">
      <c r="A194" t="s">
        <v>220</v>
      </c>
      <c r="B194" t="s">
        <v>17</v>
      </c>
      <c r="C194">
        <v>2</v>
      </c>
      <c r="D194">
        <v>240.33</v>
      </c>
      <c r="E194">
        <v>2439.11</v>
      </c>
      <c r="F194">
        <v>19.66</v>
      </c>
      <c r="G194">
        <v>3649</v>
      </c>
      <c r="H194">
        <v>6.09</v>
      </c>
      <c r="I194">
        <v>1</v>
      </c>
      <c r="J194">
        <v>2008</v>
      </c>
      <c r="K194" t="s">
        <v>28</v>
      </c>
      <c r="L194" t="s">
        <v>15</v>
      </c>
      <c r="M194" t="str">
        <f t="shared" si="2"/>
        <v>No</v>
      </c>
    </row>
    <row r="195" spans="1:13" x14ac:dyDescent="0.3">
      <c r="A195" t="s">
        <v>221</v>
      </c>
      <c r="B195" t="s">
        <v>75</v>
      </c>
      <c r="C195">
        <v>4</v>
      </c>
      <c r="D195">
        <v>189.12</v>
      </c>
      <c r="E195">
        <v>1477.83</v>
      </c>
      <c r="F195">
        <v>89.71</v>
      </c>
      <c r="G195">
        <v>2135</v>
      </c>
      <c r="H195">
        <v>2.5499999999999998</v>
      </c>
      <c r="I195">
        <v>0</v>
      </c>
      <c r="J195">
        <v>1995</v>
      </c>
      <c r="K195" t="s">
        <v>18</v>
      </c>
      <c r="L195" t="s">
        <v>15</v>
      </c>
      <c r="M195" t="str">
        <f t="shared" ref="M195:M258" si="3">IF(J195&gt;2010,"Yes","No")</f>
        <v>No</v>
      </c>
    </row>
    <row r="196" spans="1:13" x14ac:dyDescent="0.3">
      <c r="A196" t="s">
        <v>222</v>
      </c>
      <c r="B196" t="s">
        <v>34</v>
      </c>
      <c r="C196">
        <v>2</v>
      </c>
      <c r="D196">
        <v>65.290000000000006</v>
      </c>
      <c r="E196">
        <v>483.37</v>
      </c>
      <c r="F196">
        <v>52.07</v>
      </c>
      <c r="G196">
        <v>362</v>
      </c>
      <c r="H196">
        <v>3.62</v>
      </c>
      <c r="I196">
        <v>0</v>
      </c>
      <c r="J196">
        <v>2004</v>
      </c>
      <c r="K196" t="s">
        <v>18</v>
      </c>
      <c r="L196" t="s">
        <v>15</v>
      </c>
      <c r="M196" t="str">
        <f t="shared" si="3"/>
        <v>No</v>
      </c>
    </row>
    <row r="197" spans="1:13" x14ac:dyDescent="0.3">
      <c r="A197" t="s">
        <v>223</v>
      </c>
      <c r="B197" t="s">
        <v>75</v>
      </c>
      <c r="C197">
        <v>1</v>
      </c>
      <c r="D197">
        <v>155.72</v>
      </c>
      <c r="E197">
        <v>1109.1500000000001</v>
      </c>
      <c r="F197">
        <v>44.82</v>
      </c>
      <c r="G197">
        <v>2427</v>
      </c>
      <c r="H197">
        <v>0.93</v>
      </c>
      <c r="I197">
        <v>0</v>
      </c>
      <c r="J197">
        <v>2009</v>
      </c>
      <c r="K197" t="s">
        <v>41</v>
      </c>
      <c r="L197" t="s">
        <v>15</v>
      </c>
      <c r="M197" t="str">
        <f t="shared" si="3"/>
        <v>No</v>
      </c>
    </row>
    <row r="198" spans="1:13" x14ac:dyDescent="0.3">
      <c r="A198" t="s">
        <v>224</v>
      </c>
      <c r="B198" t="s">
        <v>13</v>
      </c>
      <c r="C198">
        <v>4</v>
      </c>
      <c r="D198">
        <v>179.38</v>
      </c>
      <c r="E198">
        <v>1866.6</v>
      </c>
      <c r="F198">
        <v>55.83</v>
      </c>
      <c r="G198">
        <v>4262</v>
      </c>
      <c r="H198">
        <v>3.4</v>
      </c>
      <c r="I198">
        <v>0</v>
      </c>
      <c r="J198">
        <v>1998</v>
      </c>
      <c r="K198" t="s">
        <v>18</v>
      </c>
      <c r="L198" t="s">
        <v>23</v>
      </c>
      <c r="M198" t="str">
        <f t="shared" si="3"/>
        <v>No</v>
      </c>
    </row>
    <row r="199" spans="1:13" x14ac:dyDescent="0.3">
      <c r="A199" t="s">
        <v>225</v>
      </c>
      <c r="B199" t="s">
        <v>34</v>
      </c>
      <c r="C199">
        <v>3</v>
      </c>
      <c r="D199">
        <v>157.75</v>
      </c>
      <c r="E199">
        <v>1310.73</v>
      </c>
      <c r="F199">
        <v>16.690000000000001</v>
      </c>
      <c r="G199">
        <v>4550</v>
      </c>
      <c r="H199">
        <v>6.81</v>
      </c>
      <c r="I199">
        <v>1</v>
      </c>
      <c r="J199">
        <v>2021</v>
      </c>
      <c r="K199" t="s">
        <v>28</v>
      </c>
      <c r="L199" t="s">
        <v>23</v>
      </c>
      <c r="M199" t="str">
        <f t="shared" si="3"/>
        <v>Yes</v>
      </c>
    </row>
    <row r="200" spans="1:13" x14ac:dyDescent="0.3">
      <c r="A200" t="s">
        <v>226</v>
      </c>
      <c r="B200" t="s">
        <v>34</v>
      </c>
      <c r="C200">
        <v>2</v>
      </c>
      <c r="D200">
        <v>78.44</v>
      </c>
      <c r="E200">
        <v>1018.34</v>
      </c>
      <c r="F200">
        <v>61.39</v>
      </c>
      <c r="G200">
        <v>1502</v>
      </c>
      <c r="H200">
        <v>0.81</v>
      </c>
      <c r="I200">
        <v>0</v>
      </c>
      <c r="J200">
        <v>1993</v>
      </c>
      <c r="K200" t="s">
        <v>18</v>
      </c>
      <c r="L200" t="s">
        <v>15</v>
      </c>
      <c r="M200" t="str">
        <f t="shared" si="3"/>
        <v>No</v>
      </c>
    </row>
    <row r="201" spans="1:13" x14ac:dyDescent="0.3">
      <c r="A201" t="s">
        <v>227</v>
      </c>
      <c r="B201" t="s">
        <v>30</v>
      </c>
      <c r="C201">
        <v>1</v>
      </c>
      <c r="D201">
        <v>154.82</v>
      </c>
      <c r="E201">
        <v>1708.47</v>
      </c>
      <c r="F201">
        <v>36.369999999999997</v>
      </c>
      <c r="G201">
        <v>2163</v>
      </c>
      <c r="H201">
        <v>2.13</v>
      </c>
      <c r="I201">
        <v>0</v>
      </c>
      <c r="J201">
        <v>2007</v>
      </c>
      <c r="K201" t="s">
        <v>28</v>
      </c>
      <c r="L201" t="s">
        <v>15</v>
      </c>
      <c r="M201" t="str">
        <f t="shared" si="3"/>
        <v>No</v>
      </c>
    </row>
    <row r="202" spans="1:13" x14ac:dyDescent="0.3">
      <c r="A202" t="s">
        <v>228</v>
      </c>
      <c r="B202" t="s">
        <v>34</v>
      </c>
      <c r="C202">
        <v>5</v>
      </c>
      <c r="D202">
        <v>147.61000000000001</v>
      </c>
      <c r="E202">
        <v>566.70000000000005</v>
      </c>
      <c r="F202">
        <v>89.73</v>
      </c>
      <c r="G202">
        <v>2560</v>
      </c>
      <c r="H202">
        <v>3.88</v>
      </c>
      <c r="I202">
        <v>0</v>
      </c>
      <c r="J202">
        <v>1994</v>
      </c>
      <c r="K202" t="s">
        <v>14</v>
      </c>
      <c r="L202" t="s">
        <v>15</v>
      </c>
      <c r="M202" t="str">
        <f t="shared" si="3"/>
        <v>No</v>
      </c>
    </row>
    <row r="203" spans="1:13" x14ac:dyDescent="0.3">
      <c r="A203" t="s">
        <v>229</v>
      </c>
      <c r="B203" t="s">
        <v>21</v>
      </c>
      <c r="C203">
        <v>4</v>
      </c>
      <c r="D203">
        <v>298.89999999999998</v>
      </c>
      <c r="E203">
        <v>3192.86</v>
      </c>
      <c r="F203">
        <v>16.97</v>
      </c>
      <c r="G203">
        <v>2347</v>
      </c>
      <c r="H203">
        <v>9.82</v>
      </c>
      <c r="I203">
        <v>1</v>
      </c>
      <c r="J203">
        <v>2009</v>
      </c>
      <c r="K203" t="s">
        <v>28</v>
      </c>
      <c r="L203" t="s">
        <v>15</v>
      </c>
      <c r="M203" t="str">
        <f t="shared" si="3"/>
        <v>No</v>
      </c>
    </row>
    <row r="204" spans="1:13" x14ac:dyDescent="0.3">
      <c r="A204" t="s">
        <v>230</v>
      </c>
      <c r="B204" t="s">
        <v>25</v>
      </c>
      <c r="C204">
        <v>2</v>
      </c>
      <c r="D204">
        <v>269.27999999999997</v>
      </c>
      <c r="E204">
        <v>1684.01</v>
      </c>
      <c r="F204">
        <v>50.75</v>
      </c>
      <c r="G204">
        <v>2956</v>
      </c>
      <c r="H204">
        <v>7.87</v>
      </c>
      <c r="I204">
        <v>0</v>
      </c>
      <c r="J204">
        <v>2012</v>
      </c>
      <c r="K204" t="s">
        <v>32</v>
      </c>
      <c r="L204" t="s">
        <v>15</v>
      </c>
      <c r="M204" t="str">
        <f t="shared" si="3"/>
        <v>Yes</v>
      </c>
    </row>
    <row r="205" spans="1:13" x14ac:dyDescent="0.3">
      <c r="A205" t="s">
        <v>231</v>
      </c>
      <c r="B205" t="s">
        <v>21</v>
      </c>
      <c r="C205">
        <v>2</v>
      </c>
      <c r="D205">
        <v>139.28</v>
      </c>
      <c r="E205">
        <v>1408.64</v>
      </c>
      <c r="F205">
        <v>59.85</v>
      </c>
      <c r="G205">
        <v>1243</v>
      </c>
      <c r="H205">
        <v>7.36</v>
      </c>
      <c r="I205">
        <v>0</v>
      </c>
      <c r="J205">
        <v>2000</v>
      </c>
      <c r="K205" t="s">
        <v>32</v>
      </c>
      <c r="L205" t="s">
        <v>15</v>
      </c>
      <c r="M205" t="str">
        <f t="shared" si="3"/>
        <v>No</v>
      </c>
    </row>
    <row r="206" spans="1:13" x14ac:dyDescent="0.3">
      <c r="A206" t="s">
        <v>232</v>
      </c>
      <c r="B206" t="s">
        <v>17</v>
      </c>
      <c r="C206">
        <v>3</v>
      </c>
      <c r="D206">
        <v>187.07</v>
      </c>
      <c r="E206">
        <v>2088</v>
      </c>
      <c r="F206">
        <v>3.44</v>
      </c>
      <c r="G206">
        <v>978</v>
      </c>
      <c r="H206">
        <v>1.25</v>
      </c>
      <c r="I206">
        <v>0</v>
      </c>
      <c r="J206">
        <v>2011</v>
      </c>
      <c r="K206" t="s">
        <v>32</v>
      </c>
      <c r="L206" t="s">
        <v>15</v>
      </c>
      <c r="M206" t="str">
        <f t="shared" si="3"/>
        <v>Yes</v>
      </c>
    </row>
    <row r="207" spans="1:13" x14ac:dyDescent="0.3">
      <c r="A207" t="s">
        <v>233</v>
      </c>
      <c r="B207" t="s">
        <v>17</v>
      </c>
      <c r="C207">
        <v>3</v>
      </c>
      <c r="D207">
        <v>224.49</v>
      </c>
      <c r="E207">
        <v>1295.3</v>
      </c>
      <c r="F207">
        <v>36.43</v>
      </c>
      <c r="G207">
        <v>4732</v>
      </c>
      <c r="H207">
        <v>7.83</v>
      </c>
      <c r="I207">
        <v>0</v>
      </c>
      <c r="J207">
        <v>1993</v>
      </c>
      <c r="K207" t="s">
        <v>41</v>
      </c>
      <c r="L207" t="s">
        <v>15</v>
      </c>
      <c r="M207" t="str">
        <f t="shared" si="3"/>
        <v>No</v>
      </c>
    </row>
    <row r="208" spans="1:13" x14ac:dyDescent="0.3">
      <c r="A208" t="s">
        <v>234</v>
      </c>
      <c r="B208" t="s">
        <v>75</v>
      </c>
      <c r="C208">
        <v>5</v>
      </c>
      <c r="D208">
        <v>10.94</v>
      </c>
      <c r="E208">
        <v>92.8</v>
      </c>
      <c r="F208">
        <v>73.290000000000006</v>
      </c>
      <c r="G208">
        <v>3970</v>
      </c>
      <c r="H208">
        <v>7.87</v>
      </c>
      <c r="I208">
        <v>0</v>
      </c>
      <c r="J208">
        <v>2018</v>
      </c>
      <c r="K208" t="s">
        <v>41</v>
      </c>
      <c r="L208" t="s">
        <v>15</v>
      </c>
      <c r="M208" t="str">
        <f t="shared" si="3"/>
        <v>Yes</v>
      </c>
    </row>
    <row r="209" spans="1:13" x14ac:dyDescent="0.3">
      <c r="A209" t="s">
        <v>235</v>
      </c>
      <c r="B209" t="s">
        <v>21</v>
      </c>
      <c r="C209">
        <v>5</v>
      </c>
      <c r="D209">
        <v>268.52999999999997</v>
      </c>
      <c r="E209">
        <v>1418.89</v>
      </c>
      <c r="F209">
        <v>82.06</v>
      </c>
      <c r="G209">
        <v>1055</v>
      </c>
      <c r="H209">
        <v>6.05</v>
      </c>
      <c r="I209">
        <v>1</v>
      </c>
      <c r="J209">
        <v>2002</v>
      </c>
      <c r="K209" t="s">
        <v>41</v>
      </c>
      <c r="L209" t="s">
        <v>23</v>
      </c>
      <c r="M209" t="str">
        <f t="shared" si="3"/>
        <v>No</v>
      </c>
    </row>
    <row r="210" spans="1:13" x14ac:dyDescent="0.3">
      <c r="A210" t="s">
        <v>236</v>
      </c>
      <c r="B210" t="s">
        <v>21</v>
      </c>
      <c r="C210">
        <v>1</v>
      </c>
      <c r="D210">
        <v>258.11</v>
      </c>
      <c r="E210">
        <v>936.44</v>
      </c>
      <c r="F210">
        <v>31.38</v>
      </c>
      <c r="G210">
        <v>3706</v>
      </c>
      <c r="H210">
        <v>9.9</v>
      </c>
      <c r="I210">
        <v>0</v>
      </c>
      <c r="J210">
        <v>1998</v>
      </c>
      <c r="K210" t="s">
        <v>28</v>
      </c>
      <c r="L210" t="s">
        <v>26</v>
      </c>
      <c r="M210" t="str">
        <f t="shared" si="3"/>
        <v>No</v>
      </c>
    </row>
    <row r="211" spans="1:13" x14ac:dyDescent="0.3">
      <c r="A211" t="s">
        <v>237</v>
      </c>
      <c r="B211" t="s">
        <v>21</v>
      </c>
      <c r="C211">
        <v>1</v>
      </c>
      <c r="D211">
        <v>137.5</v>
      </c>
      <c r="E211">
        <v>1036.99</v>
      </c>
      <c r="F211">
        <v>79.88</v>
      </c>
      <c r="G211">
        <v>2785</v>
      </c>
      <c r="H211">
        <v>3.32</v>
      </c>
      <c r="I211">
        <v>0</v>
      </c>
      <c r="J211">
        <v>2020</v>
      </c>
      <c r="K211" t="s">
        <v>41</v>
      </c>
      <c r="L211" t="s">
        <v>15</v>
      </c>
      <c r="M211" t="str">
        <f t="shared" si="3"/>
        <v>Yes</v>
      </c>
    </row>
    <row r="212" spans="1:13" x14ac:dyDescent="0.3">
      <c r="A212" t="s">
        <v>238</v>
      </c>
      <c r="B212" t="s">
        <v>13</v>
      </c>
      <c r="C212">
        <v>5</v>
      </c>
      <c r="D212">
        <v>117.66</v>
      </c>
      <c r="E212">
        <v>865.43</v>
      </c>
      <c r="F212">
        <v>96.78</v>
      </c>
      <c r="G212">
        <v>1593</v>
      </c>
      <c r="H212">
        <v>9.42</v>
      </c>
      <c r="I212">
        <v>1</v>
      </c>
      <c r="J212">
        <v>1996</v>
      </c>
      <c r="K212" t="s">
        <v>14</v>
      </c>
      <c r="L212" t="s">
        <v>26</v>
      </c>
      <c r="M212" t="str">
        <f t="shared" si="3"/>
        <v>No</v>
      </c>
    </row>
    <row r="213" spans="1:13" x14ac:dyDescent="0.3">
      <c r="A213" t="s">
        <v>239</v>
      </c>
      <c r="B213" t="s">
        <v>34</v>
      </c>
      <c r="C213">
        <v>5</v>
      </c>
      <c r="D213">
        <v>82.25</v>
      </c>
      <c r="E213">
        <v>1229.29</v>
      </c>
      <c r="F213">
        <v>85.7</v>
      </c>
      <c r="G213">
        <v>3883</v>
      </c>
      <c r="H213">
        <v>9.16</v>
      </c>
      <c r="I213">
        <v>0</v>
      </c>
      <c r="J213">
        <v>1993</v>
      </c>
      <c r="K213" t="s">
        <v>32</v>
      </c>
      <c r="L213" t="s">
        <v>15</v>
      </c>
      <c r="M213" t="str">
        <f t="shared" si="3"/>
        <v>No</v>
      </c>
    </row>
    <row r="214" spans="1:13" x14ac:dyDescent="0.3">
      <c r="A214" t="s">
        <v>240</v>
      </c>
      <c r="B214" t="s">
        <v>25</v>
      </c>
      <c r="C214">
        <v>4</v>
      </c>
      <c r="D214">
        <v>143.26</v>
      </c>
      <c r="E214">
        <v>1197.1099999999999</v>
      </c>
      <c r="F214">
        <v>11.85</v>
      </c>
      <c r="G214">
        <v>2373</v>
      </c>
      <c r="H214">
        <v>0.21</v>
      </c>
      <c r="I214">
        <v>0</v>
      </c>
      <c r="J214">
        <v>2008</v>
      </c>
      <c r="K214" t="s">
        <v>28</v>
      </c>
      <c r="L214" t="s">
        <v>15</v>
      </c>
      <c r="M214" t="str">
        <f t="shared" si="3"/>
        <v>No</v>
      </c>
    </row>
    <row r="215" spans="1:13" x14ac:dyDescent="0.3">
      <c r="A215" t="s">
        <v>241</v>
      </c>
      <c r="B215" t="s">
        <v>75</v>
      </c>
      <c r="C215">
        <v>3</v>
      </c>
      <c r="D215">
        <v>13.79</v>
      </c>
      <c r="E215">
        <v>96.57</v>
      </c>
      <c r="F215">
        <v>74</v>
      </c>
      <c r="G215">
        <v>441</v>
      </c>
      <c r="H215">
        <v>4.5599999999999996</v>
      </c>
      <c r="I215">
        <v>0</v>
      </c>
      <c r="J215">
        <v>2019</v>
      </c>
      <c r="K215" t="s">
        <v>32</v>
      </c>
      <c r="L215" t="s">
        <v>15</v>
      </c>
      <c r="M215" t="str">
        <f t="shared" si="3"/>
        <v>Yes</v>
      </c>
    </row>
    <row r="216" spans="1:13" x14ac:dyDescent="0.3">
      <c r="A216" t="s">
        <v>242</v>
      </c>
      <c r="B216" t="s">
        <v>21</v>
      </c>
      <c r="C216">
        <v>1</v>
      </c>
      <c r="D216">
        <v>255.73</v>
      </c>
      <c r="E216">
        <v>2548.5300000000002</v>
      </c>
      <c r="F216">
        <v>32.03</v>
      </c>
      <c r="G216">
        <v>2833</v>
      </c>
      <c r="H216">
        <v>9.77</v>
      </c>
      <c r="I216">
        <v>1</v>
      </c>
      <c r="J216">
        <v>2020</v>
      </c>
      <c r="K216" t="s">
        <v>41</v>
      </c>
      <c r="L216" t="s">
        <v>15</v>
      </c>
      <c r="M216" t="str">
        <f t="shared" si="3"/>
        <v>Yes</v>
      </c>
    </row>
    <row r="217" spans="1:13" x14ac:dyDescent="0.3">
      <c r="A217" t="s">
        <v>243</v>
      </c>
      <c r="B217" t="s">
        <v>21</v>
      </c>
      <c r="C217">
        <v>3</v>
      </c>
      <c r="D217">
        <v>11.11</v>
      </c>
      <c r="E217">
        <v>45.16</v>
      </c>
      <c r="F217">
        <v>98.84</v>
      </c>
      <c r="G217">
        <v>1561</v>
      </c>
      <c r="H217">
        <v>1.1200000000000001</v>
      </c>
      <c r="I217">
        <v>0</v>
      </c>
      <c r="J217">
        <v>2010</v>
      </c>
      <c r="K217" t="s">
        <v>28</v>
      </c>
      <c r="L217" t="s">
        <v>15</v>
      </c>
      <c r="M217" t="str">
        <f t="shared" si="3"/>
        <v>No</v>
      </c>
    </row>
    <row r="218" spans="1:13" x14ac:dyDescent="0.3">
      <c r="A218" t="s">
        <v>244</v>
      </c>
      <c r="B218" t="s">
        <v>30</v>
      </c>
      <c r="C218">
        <v>3</v>
      </c>
      <c r="D218">
        <v>99.05</v>
      </c>
      <c r="E218">
        <v>1440.19</v>
      </c>
      <c r="F218">
        <v>48.59</v>
      </c>
      <c r="G218">
        <v>3863</v>
      </c>
      <c r="H218">
        <v>5.52</v>
      </c>
      <c r="I218">
        <v>1</v>
      </c>
      <c r="J218">
        <v>2020</v>
      </c>
      <c r="K218" t="s">
        <v>18</v>
      </c>
      <c r="L218" t="s">
        <v>15</v>
      </c>
      <c r="M218" t="str">
        <f t="shared" si="3"/>
        <v>Yes</v>
      </c>
    </row>
    <row r="219" spans="1:13" x14ac:dyDescent="0.3">
      <c r="A219" t="s">
        <v>245</v>
      </c>
      <c r="B219" t="s">
        <v>75</v>
      </c>
      <c r="C219">
        <v>5</v>
      </c>
      <c r="D219">
        <v>279.51</v>
      </c>
      <c r="E219">
        <v>2968.26</v>
      </c>
      <c r="F219">
        <v>12.33</v>
      </c>
      <c r="G219">
        <v>1309</v>
      </c>
      <c r="H219">
        <v>9.7899999999999991</v>
      </c>
      <c r="I219">
        <v>1</v>
      </c>
      <c r="J219">
        <v>2008</v>
      </c>
      <c r="K219" t="s">
        <v>14</v>
      </c>
      <c r="L219" t="s">
        <v>15</v>
      </c>
      <c r="M219" t="str">
        <f t="shared" si="3"/>
        <v>No</v>
      </c>
    </row>
    <row r="220" spans="1:13" x14ac:dyDescent="0.3">
      <c r="A220" t="s">
        <v>246</v>
      </c>
      <c r="B220" t="s">
        <v>21</v>
      </c>
      <c r="C220">
        <v>4</v>
      </c>
      <c r="D220">
        <v>220.7</v>
      </c>
      <c r="E220">
        <v>2661.21</v>
      </c>
      <c r="F220">
        <v>72.55</v>
      </c>
      <c r="G220">
        <v>2389</v>
      </c>
      <c r="H220">
        <v>5.6</v>
      </c>
      <c r="I220">
        <v>0</v>
      </c>
      <c r="J220">
        <v>2020</v>
      </c>
      <c r="K220" t="s">
        <v>41</v>
      </c>
      <c r="L220" t="s">
        <v>15</v>
      </c>
      <c r="M220" t="str">
        <f t="shared" si="3"/>
        <v>Yes</v>
      </c>
    </row>
    <row r="221" spans="1:13" x14ac:dyDescent="0.3">
      <c r="A221" t="s">
        <v>247</v>
      </c>
      <c r="B221" t="s">
        <v>75</v>
      </c>
      <c r="C221">
        <v>2</v>
      </c>
      <c r="D221">
        <v>84.78</v>
      </c>
      <c r="E221">
        <v>427.78</v>
      </c>
      <c r="F221">
        <v>32.369999999999997</v>
      </c>
      <c r="G221">
        <v>187</v>
      </c>
      <c r="H221">
        <v>1.98</v>
      </c>
      <c r="I221">
        <v>1</v>
      </c>
      <c r="J221">
        <v>2021</v>
      </c>
      <c r="K221" t="s">
        <v>41</v>
      </c>
      <c r="L221" t="s">
        <v>15</v>
      </c>
      <c r="M221" t="str">
        <f t="shared" si="3"/>
        <v>Yes</v>
      </c>
    </row>
    <row r="222" spans="1:13" x14ac:dyDescent="0.3">
      <c r="A222" t="s">
        <v>248</v>
      </c>
      <c r="B222" t="s">
        <v>34</v>
      </c>
      <c r="C222">
        <v>4</v>
      </c>
      <c r="D222">
        <v>76.17</v>
      </c>
      <c r="E222">
        <v>602.79</v>
      </c>
      <c r="F222">
        <v>99.71</v>
      </c>
      <c r="G222">
        <v>1594</v>
      </c>
      <c r="H222">
        <v>5.86</v>
      </c>
      <c r="I222">
        <v>0</v>
      </c>
      <c r="J222">
        <v>1991</v>
      </c>
      <c r="K222" t="s">
        <v>14</v>
      </c>
      <c r="L222" t="s">
        <v>15</v>
      </c>
      <c r="M222" t="str">
        <f t="shared" si="3"/>
        <v>No</v>
      </c>
    </row>
    <row r="223" spans="1:13" x14ac:dyDescent="0.3">
      <c r="A223" t="s">
        <v>249</v>
      </c>
      <c r="B223" t="s">
        <v>30</v>
      </c>
      <c r="C223">
        <v>4</v>
      </c>
      <c r="D223">
        <v>2.02</v>
      </c>
      <c r="E223">
        <v>16.309999999999999</v>
      </c>
      <c r="F223">
        <v>97.98</v>
      </c>
      <c r="G223">
        <v>1592</v>
      </c>
      <c r="H223">
        <v>2.12</v>
      </c>
      <c r="I223">
        <v>0</v>
      </c>
      <c r="J223">
        <v>1999</v>
      </c>
      <c r="K223" t="s">
        <v>14</v>
      </c>
      <c r="L223" t="s">
        <v>15</v>
      </c>
      <c r="M223" t="str">
        <f t="shared" si="3"/>
        <v>No</v>
      </c>
    </row>
    <row r="224" spans="1:13" x14ac:dyDescent="0.3">
      <c r="A224" t="s">
        <v>250</v>
      </c>
      <c r="B224" t="s">
        <v>75</v>
      </c>
      <c r="C224">
        <v>3</v>
      </c>
      <c r="D224">
        <v>208.87</v>
      </c>
      <c r="E224">
        <v>2686.42</v>
      </c>
      <c r="F224">
        <v>65.650000000000006</v>
      </c>
      <c r="G224">
        <v>664</v>
      </c>
      <c r="H224">
        <v>5.25</v>
      </c>
      <c r="I224">
        <v>1</v>
      </c>
      <c r="J224">
        <v>1991</v>
      </c>
      <c r="K224" t="s">
        <v>18</v>
      </c>
      <c r="L224" t="s">
        <v>15</v>
      </c>
      <c r="M224" t="str">
        <f t="shared" si="3"/>
        <v>No</v>
      </c>
    </row>
    <row r="225" spans="1:13" x14ac:dyDescent="0.3">
      <c r="A225" t="s">
        <v>251</v>
      </c>
      <c r="B225" t="s">
        <v>25</v>
      </c>
      <c r="C225">
        <v>4</v>
      </c>
      <c r="D225">
        <v>15.11</v>
      </c>
      <c r="E225">
        <v>45.55</v>
      </c>
      <c r="F225">
        <v>13.07</v>
      </c>
      <c r="G225">
        <v>164</v>
      </c>
      <c r="H225">
        <v>0.83</v>
      </c>
      <c r="I225">
        <v>1</v>
      </c>
      <c r="J225">
        <v>1991</v>
      </c>
      <c r="K225" t="s">
        <v>41</v>
      </c>
      <c r="L225" t="s">
        <v>15</v>
      </c>
      <c r="M225" t="str">
        <f t="shared" si="3"/>
        <v>No</v>
      </c>
    </row>
    <row r="226" spans="1:13" x14ac:dyDescent="0.3">
      <c r="A226" t="s">
        <v>252</v>
      </c>
      <c r="B226" t="s">
        <v>25</v>
      </c>
      <c r="C226">
        <v>1</v>
      </c>
      <c r="D226">
        <v>160.01</v>
      </c>
      <c r="E226">
        <v>1057.7</v>
      </c>
      <c r="F226">
        <v>68.72</v>
      </c>
      <c r="G226">
        <v>3958</v>
      </c>
      <c r="H226">
        <v>6.09</v>
      </c>
      <c r="I226">
        <v>1</v>
      </c>
      <c r="J226">
        <v>2013</v>
      </c>
      <c r="K226" t="s">
        <v>41</v>
      </c>
      <c r="L226" t="s">
        <v>15</v>
      </c>
      <c r="M226" t="str">
        <f t="shared" si="3"/>
        <v>Yes</v>
      </c>
    </row>
    <row r="227" spans="1:13" x14ac:dyDescent="0.3">
      <c r="A227" t="s">
        <v>253</v>
      </c>
      <c r="B227" t="s">
        <v>17</v>
      </c>
      <c r="C227">
        <v>3</v>
      </c>
      <c r="D227">
        <v>288.66000000000003</v>
      </c>
      <c r="E227">
        <v>4264.8999999999996</v>
      </c>
      <c r="F227">
        <v>9.39</v>
      </c>
      <c r="G227">
        <v>1016</v>
      </c>
      <c r="H227">
        <v>5.22</v>
      </c>
      <c r="I227">
        <v>0</v>
      </c>
      <c r="J227">
        <v>2006</v>
      </c>
      <c r="K227" t="s">
        <v>32</v>
      </c>
      <c r="L227" t="s">
        <v>15</v>
      </c>
      <c r="M227" t="str">
        <f t="shared" si="3"/>
        <v>No</v>
      </c>
    </row>
    <row r="228" spans="1:13" x14ac:dyDescent="0.3">
      <c r="A228" t="s">
        <v>254</v>
      </c>
      <c r="B228" t="s">
        <v>30</v>
      </c>
      <c r="C228">
        <v>1</v>
      </c>
      <c r="D228">
        <v>33.29</v>
      </c>
      <c r="E228">
        <v>289.58</v>
      </c>
      <c r="F228">
        <v>3.03</v>
      </c>
      <c r="G228">
        <v>57</v>
      </c>
      <c r="H228">
        <v>7.43</v>
      </c>
      <c r="I228">
        <v>0</v>
      </c>
      <c r="J228">
        <v>2021</v>
      </c>
      <c r="K228" t="s">
        <v>28</v>
      </c>
      <c r="L228" t="s">
        <v>15</v>
      </c>
      <c r="M228" t="str">
        <f t="shared" si="3"/>
        <v>Yes</v>
      </c>
    </row>
    <row r="229" spans="1:13" x14ac:dyDescent="0.3">
      <c r="A229" t="s">
        <v>255</v>
      </c>
      <c r="B229" t="s">
        <v>30</v>
      </c>
      <c r="C229">
        <v>2</v>
      </c>
      <c r="D229">
        <v>268.39999999999998</v>
      </c>
      <c r="E229">
        <v>2037.24</v>
      </c>
      <c r="F229">
        <v>82.31</v>
      </c>
      <c r="G229">
        <v>2312</v>
      </c>
      <c r="H229">
        <v>6.34</v>
      </c>
      <c r="I229">
        <v>1</v>
      </c>
      <c r="J229">
        <v>2005</v>
      </c>
      <c r="K229" t="s">
        <v>28</v>
      </c>
      <c r="L229" t="s">
        <v>15</v>
      </c>
      <c r="M229" t="str">
        <f t="shared" si="3"/>
        <v>No</v>
      </c>
    </row>
    <row r="230" spans="1:13" x14ac:dyDescent="0.3">
      <c r="A230" t="s">
        <v>256</v>
      </c>
      <c r="B230" t="s">
        <v>17</v>
      </c>
      <c r="C230">
        <v>3</v>
      </c>
      <c r="D230">
        <v>297.45</v>
      </c>
      <c r="E230">
        <v>1320.07</v>
      </c>
      <c r="F230">
        <v>21.05</v>
      </c>
      <c r="G230">
        <v>1233</v>
      </c>
      <c r="H230">
        <v>5.54</v>
      </c>
      <c r="I230">
        <v>0</v>
      </c>
      <c r="J230">
        <v>2005</v>
      </c>
      <c r="K230" t="s">
        <v>32</v>
      </c>
      <c r="L230" t="s">
        <v>15</v>
      </c>
      <c r="M230" t="str">
        <f t="shared" si="3"/>
        <v>No</v>
      </c>
    </row>
    <row r="231" spans="1:13" x14ac:dyDescent="0.3">
      <c r="A231" t="s">
        <v>257</v>
      </c>
      <c r="B231" t="s">
        <v>75</v>
      </c>
      <c r="C231">
        <v>2</v>
      </c>
      <c r="D231">
        <v>18.920000000000002</v>
      </c>
      <c r="E231">
        <v>277.93</v>
      </c>
      <c r="F231">
        <v>37.96</v>
      </c>
      <c r="G231">
        <v>1040</v>
      </c>
      <c r="H231">
        <v>6.93</v>
      </c>
      <c r="I231">
        <v>0</v>
      </c>
      <c r="J231">
        <v>2020</v>
      </c>
      <c r="K231" t="s">
        <v>28</v>
      </c>
      <c r="L231" t="s">
        <v>15</v>
      </c>
      <c r="M231" t="str">
        <f t="shared" si="3"/>
        <v>Yes</v>
      </c>
    </row>
    <row r="232" spans="1:13" x14ac:dyDescent="0.3">
      <c r="A232" t="s">
        <v>258</v>
      </c>
      <c r="B232" t="s">
        <v>30</v>
      </c>
      <c r="C232">
        <v>3</v>
      </c>
      <c r="D232">
        <v>264.93</v>
      </c>
      <c r="E232">
        <v>858.46</v>
      </c>
      <c r="F232">
        <v>97.35</v>
      </c>
      <c r="G232">
        <v>3707</v>
      </c>
      <c r="H232">
        <v>1.53</v>
      </c>
      <c r="I232">
        <v>0</v>
      </c>
      <c r="J232">
        <v>2013</v>
      </c>
      <c r="K232" t="s">
        <v>14</v>
      </c>
      <c r="L232" t="s">
        <v>15</v>
      </c>
      <c r="M232" t="str">
        <f t="shared" si="3"/>
        <v>Yes</v>
      </c>
    </row>
    <row r="233" spans="1:13" x14ac:dyDescent="0.3">
      <c r="A233" t="s">
        <v>259</v>
      </c>
      <c r="B233" t="s">
        <v>25</v>
      </c>
      <c r="C233">
        <v>5</v>
      </c>
      <c r="D233">
        <v>155.07</v>
      </c>
      <c r="E233">
        <v>1836.98</v>
      </c>
      <c r="F233">
        <v>33.75</v>
      </c>
      <c r="G233">
        <v>4050</v>
      </c>
      <c r="H233">
        <v>5.99</v>
      </c>
      <c r="I233">
        <v>0</v>
      </c>
      <c r="J233">
        <v>1990</v>
      </c>
      <c r="K233" t="s">
        <v>28</v>
      </c>
      <c r="L233" t="s">
        <v>15</v>
      </c>
      <c r="M233" t="str">
        <f t="shared" si="3"/>
        <v>No</v>
      </c>
    </row>
    <row r="234" spans="1:13" x14ac:dyDescent="0.3">
      <c r="A234" t="s">
        <v>260</v>
      </c>
      <c r="B234" t="s">
        <v>25</v>
      </c>
      <c r="C234">
        <v>4</v>
      </c>
      <c r="D234">
        <v>272</v>
      </c>
      <c r="E234">
        <v>3324.71</v>
      </c>
      <c r="F234">
        <v>29.72</v>
      </c>
      <c r="G234">
        <v>4950</v>
      </c>
      <c r="H234">
        <v>1.8</v>
      </c>
      <c r="I234">
        <v>1</v>
      </c>
      <c r="J234">
        <v>2000</v>
      </c>
      <c r="K234" t="s">
        <v>28</v>
      </c>
      <c r="L234" t="s">
        <v>15</v>
      </c>
      <c r="M234" t="str">
        <f t="shared" si="3"/>
        <v>No</v>
      </c>
    </row>
    <row r="235" spans="1:13" x14ac:dyDescent="0.3">
      <c r="A235" t="s">
        <v>261</v>
      </c>
      <c r="B235" t="s">
        <v>21</v>
      </c>
      <c r="C235">
        <v>5</v>
      </c>
      <c r="D235">
        <v>171.61</v>
      </c>
      <c r="E235">
        <v>1016.6</v>
      </c>
      <c r="F235">
        <v>91.83</v>
      </c>
      <c r="G235">
        <v>4454</v>
      </c>
      <c r="H235">
        <v>9.26</v>
      </c>
      <c r="I235">
        <v>0</v>
      </c>
      <c r="J235">
        <v>2010</v>
      </c>
      <c r="K235" t="s">
        <v>32</v>
      </c>
      <c r="L235" t="s">
        <v>15</v>
      </c>
      <c r="M235" t="str">
        <f t="shared" si="3"/>
        <v>No</v>
      </c>
    </row>
    <row r="236" spans="1:13" x14ac:dyDescent="0.3">
      <c r="A236" t="s">
        <v>262</v>
      </c>
      <c r="B236" t="s">
        <v>34</v>
      </c>
      <c r="C236">
        <v>2</v>
      </c>
      <c r="D236">
        <v>198.8</v>
      </c>
      <c r="E236">
        <v>2198.4699999999998</v>
      </c>
      <c r="F236">
        <v>11.16</v>
      </c>
      <c r="G236">
        <v>1269</v>
      </c>
      <c r="H236">
        <v>0.78</v>
      </c>
      <c r="I236">
        <v>1</v>
      </c>
      <c r="J236">
        <v>1993</v>
      </c>
      <c r="K236" t="s">
        <v>18</v>
      </c>
      <c r="L236" t="s">
        <v>23</v>
      </c>
      <c r="M236" t="str">
        <f t="shared" si="3"/>
        <v>No</v>
      </c>
    </row>
    <row r="237" spans="1:13" x14ac:dyDescent="0.3">
      <c r="A237" t="s">
        <v>263</v>
      </c>
      <c r="B237" t="s">
        <v>30</v>
      </c>
      <c r="C237">
        <v>4</v>
      </c>
      <c r="D237">
        <v>163.36000000000001</v>
      </c>
      <c r="E237">
        <v>672.25</v>
      </c>
      <c r="F237">
        <v>75.98</v>
      </c>
      <c r="G237">
        <v>1889</v>
      </c>
      <c r="H237">
        <v>4.3600000000000003</v>
      </c>
      <c r="I237">
        <v>0</v>
      </c>
      <c r="J237">
        <v>1996</v>
      </c>
      <c r="K237" t="s">
        <v>28</v>
      </c>
      <c r="L237" t="s">
        <v>15</v>
      </c>
      <c r="M237" t="str">
        <f t="shared" si="3"/>
        <v>No</v>
      </c>
    </row>
    <row r="238" spans="1:13" x14ac:dyDescent="0.3">
      <c r="A238" t="s">
        <v>264</v>
      </c>
      <c r="B238" t="s">
        <v>75</v>
      </c>
      <c r="C238">
        <v>3</v>
      </c>
      <c r="D238">
        <v>259.42</v>
      </c>
      <c r="E238">
        <v>1578.46</v>
      </c>
      <c r="F238">
        <v>98.81</v>
      </c>
      <c r="G238">
        <v>1814</v>
      </c>
      <c r="H238">
        <v>6.99</v>
      </c>
      <c r="I238">
        <v>1</v>
      </c>
      <c r="J238">
        <v>2015</v>
      </c>
      <c r="K238" t="s">
        <v>28</v>
      </c>
      <c r="L238" t="s">
        <v>15</v>
      </c>
      <c r="M238" t="str">
        <f t="shared" si="3"/>
        <v>Yes</v>
      </c>
    </row>
    <row r="239" spans="1:13" x14ac:dyDescent="0.3">
      <c r="A239" t="s">
        <v>265</v>
      </c>
      <c r="B239" t="s">
        <v>17</v>
      </c>
      <c r="C239">
        <v>4</v>
      </c>
      <c r="D239">
        <v>220.31</v>
      </c>
      <c r="E239">
        <v>2743.92</v>
      </c>
      <c r="F239">
        <v>90.14</v>
      </c>
      <c r="G239">
        <v>3172</v>
      </c>
      <c r="H239">
        <v>4.63</v>
      </c>
      <c r="I239">
        <v>0</v>
      </c>
      <c r="J239">
        <v>2001</v>
      </c>
      <c r="K239" t="s">
        <v>18</v>
      </c>
      <c r="L239" t="s">
        <v>15</v>
      </c>
      <c r="M239" t="str">
        <f t="shared" si="3"/>
        <v>No</v>
      </c>
    </row>
    <row r="240" spans="1:13" x14ac:dyDescent="0.3">
      <c r="A240" t="s">
        <v>266</v>
      </c>
      <c r="B240" t="s">
        <v>17</v>
      </c>
      <c r="C240">
        <v>1</v>
      </c>
      <c r="D240">
        <v>156.62</v>
      </c>
      <c r="E240">
        <v>2094.9899999999998</v>
      </c>
      <c r="F240">
        <v>65.2</v>
      </c>
      <c r="G240">
        <v>3802</v>
      </c>
      <c r="H240">
        <v>1.01</v>
      </c>
      <c r="I240">
        <v>0</v>
      </c>
      <c r="J240">
        <v>2020</v>
      </c>
      <c r="K240" t="s">
        <v>32</v>
      </c>
      <c r="L240" t="s">
        <v>15</v>
      </c>
      <c r="M240" t="str">
        <f t="shared" si="3"/>
        <v>Yes</v>
      </c>
    </row>
    <row r="241" spans="1:13" x14ac:dyDescent="0.3">
      <c r="A241" t="s">
        <v>267</v>
      </c>
      <c r="B241" t="s">
        <v>75</v>
      </c>
      <c r="C241">
        <v>4</v>
      </c>
      <c r="D241">
        <v>260.51</v>
      </c>
      <c r="E241">
        <v>2683.73</v>
      </c>
      <c r="F241">
        <v>31.47</v>
      </c>
      <c r="G241">
        <v>2346</v>
      </c>
      <c r="H241">
        <v>5.58</v>
      </c>
      <c r="I241">
        <v>0</v>
      </c>
      <c r="J241">
        <v>2006</v>
      </c>
      <c r="K241" t="s">
        <v>18</v>
      </c>
      <c r="L241" t="s">
        <v>15</v>
      </c>
      <c r="M241" t="str">
        <f t="shared" si="3"/>
        <v>No</v>
      </c>
    </row>
    <row r="242" spans="1:13" x14ac:dyDescent="0.3">
      <c r="A242" t="s">
        <v>268</v>
      </c>
      <c r="B242" t="s">
        <v>13</v>
      </c>
      <c r="C242">
        <v>1</v>
      </c>
      <c r="D242">
        <v>73.959999999999994</v>
      </c>
      <c r="E242">
        <v>671.71</v>
      </c>
      <c r="F242">
        <v>25.51</v>
      </c>
      <c r="G242">
        <v>3419</v>
      </c>
      <c r="H242">
        <v>6.45</v>
      </c>
      <c r="I242">
        <v>0</v>
      </c>
      <c r="J242">
        <v>2022</v>
      </c>
      <c r="K242" t="s">
        <v>32</v>
      </c>
      <c r="L242" t="s">
        <v>15</v>
      </c>
      <c r="M242" t="str">
        <f t="shared" si="3"/>
        <v>Yes</v>
      </c>
    </row>
    <row r="243" spans="1:13" x14ac:dyDescent="0.3">
      <c r="A243" t="s">
        <v>269</v>
      </c>
      <c r="B243" t="s">
        <v>39</v>
      </c>
      <c r="C243">
        <v>4</v>
      </c>
      <c r="D243">
        <v>47.62</v>
      </c>
      <c r="E243">
        <v>233.89</v>
      </c>
      <c r="F243">
        <v>81.94</v>
      </c>
      <c r="G243">
        <v>822</v>
      </c>
      <c r="H243">
        <v>7.07</v>
      </c>
      <c r="I243">
        <v>0</v>
      </c>
      <c r="J243">
        <v>2000</v>
      </c>
      <c r="K243" t="s">
        <v>14</v>
      </c>
      <c r="L243" t="s">
        <v>23</v>
      </c>
      <c r="M243" t="str">
        <f t="shared" si="3"/>
        <v>No</v>
      </c>
    </row>
    <row r="244" spans="1:13" x14ac:dyDescent="0.3">
      <c r="A244" t="s">
        <v>270</v>
      </c>
      <c r="B244" t="s">
        <v>34</v>
      </c>
      <c r="C244">
        <v>1</v>
      </c>
      <c r="D244">
        <v>48.54</v>
      </c>
      <c r="E244">
        <v>182.38</v>
      </c>
      <c r="F244">
        <v>87.99</v>
      </c>
      <c r="G244">
        <v>2442</v>
      </c>
      <c r="H244">
        <v>3.8</v>
      </c>
      <c r="I244">
        <v>1</v>
      </c>
      <c r="J244">
        <v>2017</v>
      </c>
      <c r="K244" t="s">
        <v>32</v>
      </c>
      <c r="L244" t="s">
        <v>15</v>
      </c>
      <c r="M244" t="str">
        <f t="shared" si="3"/>
        <v>Yes</v>
      </c>
    </row>
    <row r="245" spans="1:13" x14ac:dyDescent="0.3">
      <c r="A245" t="s">
        <v>271</v>
      </c>
      <c r="B245" t="s">
        <v>17</v>
      </c>
      <c r="C245">
        <v>2</v>
      </c>
      <c r="D245">
        <v>100.54</v>
      </c>
      <c r="E245">
        <v>443.56</v>
      </c>
      <c r="F245">
        <v>52.59</v>
      </c>
      <c r="G245">
        <v>893</v>
      </c>
      <c r="H245">
        <v>5.68</v>
      </c>
      <c r="I245">
        <v>1</v>
      </c>
      <c r="J245">
        <v>2021</v>
      </c>
      <c r="K245" t="s">
        <v>14</v>
      </c>
      <c r="L245" t="s">
        <v>15</v>
      </c>
      <c r="M245" t="str">
        <f t="shared" si="3"/>
        <v>Yes</v>
      </c>
    </row>
    <row r="246" spans="1:13" x14ac:dyDescent="0.3">
      <c r="A246" t="s">
        <v>272</v>
      </c>
      <c r="B246" t="s">
        <v>30</v>
      </c>
      <c r="C246">
        <v>5</v>
      </c>
      <c r="D246">
        <v>71.989999999999995</v>
      </c>
      <c r="E246">
        <v>412.38</v>
      </c>
      <c r="F246">
        <v>24.51</v>
      </c>
      <c r="G246">
        <v>672</v>
      </c>
      <c r="H246">
        <v>4.5599999999999996</v>
      </c>
      <c r="I246">
        <v>0</v>
      </c>
      <c r="J246">
        <v>1990</v>
      </c>
      <c r="K246" t="s">
        <v>14</v>
      </c>
      <c r="L246" t="s">
        <v>26</v>
      </c>
      <c r="M246" t="str">
        <f t="shared" si="3"/>
        <v>No</v>
      </c>
    </row>
    <row r="247" spans="1:13" x14ac:dyDescent="0.3">
      <c r="A247" t="s">
        <v>273</v>
      </c>
      <c r="B247" t="s">
        <v>34</v>
      </c>
      <c r="C247">
        <v>3</v>
      </c>
      <c r="D247">
        <v>279.06</v>
      </c>
      <c r="E247">
        <v>1981.35</v>
      </c>
      <c r="F247">
        <v>11.38</v>
      </c>
      <c r="G247">
        <v>4733</v>
      </c>
      <c r="H247">
        <v>6.75</v>
      </c>
      <c r="I247">
        <v>0</v>
      </c>
      <c r="J247">
        <v>2017</v>
      </c>
      <c r="K247" t="s">
        <v>32</v>
      </c>
      <c r="L247" t="s">
        <v>26</v>
      </c>
      <c r="M247" t="str">
        <f t="shared" si="3"/>
        <v>Yes</v>
      </c>
    </row>
    <row r="248" spans="1:13" x14ac:dyDescent="0.3">
      <c r="A248" t="s">
        <v>274</v>
      </c>
      <c r="B248" t="s">
        <v>30</v>
      </c>
      <c r="C248">
        <v>4</v>
      </c>
      <c r="D248">
        <v>32.200000000000003</v>
      </c>
      <c r="E248">
        <v>243.78</v>
      </c>
      <c r="F248">
        <v>8.81</v>
      </c>
      <c r="G248">
        <v>2629</v>
      </c>
      <c r="H248">
        <v>5.88</v>
      </c>
      <c r="I248">
        <v>0</v>
      </c>
      <c r="J248">
        <v>1996</v>
      </c>
      <c r="K248" t="s">
        <v>41</v>
      </c>
      <c r="L248" t="s">
        <v>15</v>
      </c>
      <c r="M248" t="str">
        <f t="shared" si="3"/>
        <v>No</v>
      </c>
    </row>
    <row r="249" spans="1:13" x14ac:dyDescent="0.3">
      <c r="A249" t="s">
        <v>275</v>
      </c>
      <c r="B249" t="s">
        <v>13</v>
      </c>
      <c r="C249">
        <v>5</v>
      </c>
      <c r="D249">
        <v>209.85</v>
      </c>
      <c r="E249">
        <v>1501.66</v>
      </c>
      <c r="F249">
        <v>71.94</v>
      </c>
      <c r="G249">
        <v>4237</v>
      </c>
      <c r="H249">
        <v>5.3</v>
      </c>
      <c r="I249">
        <v>0</v>
      </c>
      <c r="J249">
        <v>1991</v>
      </c>
      <c r="K249" t="s">
        <v>32</v>
      </c>
      <c r="L249" t="s">
        <v>15</v>
      </c>
      <c r="M249" t="str">
        <f t="shared" si="3"/>
        <v>No</v>
      </c>
    </row>
    <row r="250" spans="1:13" x14ac:dyDescent="0.3">
      <c r="A250" t="s">
        <v>276</v>
      </c>
      <c r="B250" t="s">
        <v>25</v>
      </c>
      <c r="C250">
        <v>3</v>
      </c>
      <c r="D250">
        <v>57.17</v>
      </c>
      <c r="E250">
        <v>335.51</v>
      </c>
      <c r="F250">
        <v>42.07</v>
      </c>
      <c r="G250">
        <v>4528</v>
      </c>
      <c r="H250">
        <v>2.57</v>
      </c>
      <c r="I250">
        <v>1</v>
      </c>
      <c r="J250">
        <v>2013</v>
      </c>
      <c r="K250" t="s">
        <v>28</v>
      </c>
      <c r="L250" t="s">
        <v>26</v>
      </c>
      <c r="M250" t="str">
        <f t="shared" si="3"/>
        <v>Yes</v>
      </c>
    </row>
    <row r="251" spans="1:13" x14ac:dyDescent="0.3">
      <c r="A251" t="s">
        <v>277</v>
      </c>
      <c r="B251" t="s">
        <v>34</v>
      </c>
      <c r="C251">
        <v>3</v>
      </c>
      <c r="D251">
        <v>264.55</v>
      </c>
      <c r="E251">
        <v>2411.8200000000002</v>
      </c>
      <c r="F251">
        <v>90.55</v>
      </c>
      <c r="G251">
        <v>823</v>
      </c>
      <c r="H251">
        <v>0.12</v>
      </c>
      <c r="I251">
        <v>1</v>
      </c>
      <c r="J251">
        <v>1993</v>
      </c>
      <c r="K251" t="s">
        <v>28</v>
      </c>
      <c r="L251" t="s">
        <v>15</v>
      </c>
      <c r="M251" t="str">
        <f t="shared" si="3"/>
        <v>No</v>
      </c>
    </row>
    <row r="252" spans="1:13" x14ac:dyDescent="0.3">
      <c r="A252" t="s">
        <v>278</v>
      </c>
      <c r="B252" t="s">
        <v>21</v>
      </c>
      <c r="C252">
        <v>1</v>
      </c>
      <c r="D252">
        <v>288.41000000000003</v>
      </c>
      <c r="E252">
        <v>3721.48</v>
      </c>
      <c r="F252">
        <v>73.989999999999995</v>
      </c>
      <c r="G252">
        <v>2193</v>
      </c>
      <c r="H252">
        <v>1.82</v>
      </c>
      <c r="I252">
        <v>0</v>
      </c>
      <c r="J252">
        <v>2008</v>
      </c>
      <c r="K252" t="s">
        <v>41</v>
      </c>
      <c r="L252" t="s">
        <v>15</v>
      </c>
      <c r="M252" t="str">
        <f t="shared" si="3"/>
        <v>No</v>
      </c>
    </row>
    <row r="253" spans="1:13" x14ac:dyDescent="0.3">
      <c r="A253" t="s">
        <v>279</v>
      </c>
      <c r="B253" t="s">
        <v>17</v>
      </c>
      <c r="C253">
        <v>2</v>
      </c>
      <c r="D253">
        <v>139.91</v>
      </c>
      <c r="E253">
        <v>889.33</v>
      </c>
      <c r="F253">
        <v>19.21</v>
      </c>
      <c r="G253">
        <v>1111</v>
      </c>
      <c r="H253">
        <v>1.26</v>
      </c>
      <c r="I253">
        <v>0</v>
      </c>
      <c r="J253">
        <v>2015</v>
      </c>
      <c r="K253" t="s">
        <v>14</v>
      </c>
      <c r="L253" t="s">
        <v>15</v>
      </c>
      <c r="M253" t="str">
        <f t="shared" si="3"/>
        <v>Yes</v>
      </c>
    </row>
    <row r="254" spans="1:13" x14ac:dyDescent="0.3">
      <c r="A254" t="s">
        <v>280</v>
      </c>
      <c r="B254" t="s">
        <v>34</v>
      </c>
      <c r="C254">
        <v>2</v>
      </c>
      <c r="D254">
        <v>263.77999999999997</v>
      </c>
      <c r="E254">
        <v>3774.33</v>
      </c>
      <c r="F254">
        <v>61.42</v>
      </c>
      <c r="G254">
        <v>2229</v>
      </c>
      <c r="H254">
        <v>4.55</v>
      </c>
      <c r="I254">
        <v>0</v>
      </c>
      <c r="J254">
        <v>2000</v>
      </c>
      <c r="K254" t="s">
        <v>41</v>
      </c>
      <c r="L254" t="s">
        <v>15</v>
      </c>
      <c r="M254" t="str">
        <f t="shared" si="3"/>
        <v>No</v>
      </c>
    </row>
    <row r="255" spans="1:13" x14ac:dyDescent="0.3">
      <c r="A255" t="s">
        <v>281</v>
      </c>
      <c r="B255" t="s">
        <v>34</v>
      </c>
      <c r="C255">
        <v>5</v>
      </c>
      <c r="D255">
        <v>2.04</v>
      </c>
      <c r="E255">
        <v>27.5</v>
      </c>
      <c r="F255">
        <v>43.61</v>
      </c>
      <c r="G255">
        <v>202</v>
      </c>
      <c r="H255">
        <v>6.16</v>
      </c>
      <c r="I255">
        <v>1</v>
      </c>
      <c r="J255">
        <v>2000</v>
      </c>
      <c r="K255" t="s">
        <v>28</v>
      </c>
      <c r="L255" t="s">
        <v>15</v>
      </c>
      <c r="M255" t="str">
        <f t="shared" si="3"/>
        <v>No</v>
      </c>
    </row>
    <row r="256" spans="1:13" x14ac:dyDescent="0.3">
      <c r="A256" t="s">
        <v>282</v>
      </c>
      <c r="B256" t="s">
        <v>34</v>
      </c>
      <c r="C256">
        <v>2</v>
      </c>
      <c r="D256">
        <v>246.07</v>
      </c>
      <c r="E256">
        <v>1215.8699999999999</v>
      </c>
      <c r="F256">
        <v>57.77</v>
      </c>
      <c r="G256">
        <v>2676</v>
      </c>
      <c r="H256">
        <v>2.21</v>
      </c>
      <c r="I256">
        <v>0</v>
      </c>
      <c r="J256">
        <v>1992</v>
      </c>
      <c r="K256" t="s">
        <v>41</v>
      </c>
      <c r="L256" t="s">
        <v>15</v>
      </c>
      <c r="M256" t="str">
        <f t="shared" si="3"/>
        <v>No</v>
      </c>
    </row>
    <row r="257" spans="1:13" x14ac:dyDescent="0.3">
      <c r="A257" t="s">
        <v>283</v>
      </c>
      <c r="B257" t="s">
        <v>39</v>
      </c>
      <c r="C257">
        <v>4</v>
      </c>
      <c r="D257">
        <v>68.97</v>
      </c>
      <c r="E257">
        <v>857.66</v>
      </c>
      <c r="F257">
        <v>73.83</v>
      </c>
      <c r="G257">
        <v>3497</v>
      </c>
      <c r="H257">
        <v>9.4</v>
      </c>
      <c r="I257">
        <v>1</v>
      </c>
      <c r="J257">
        <v>2001</v>
      </c>
      <c r="K257" t="s">
        <v>32</v>
      </c>
      <c r="L257" t="s">
        <v>15</v>
      </c>
      <c r="M257" t="str">
        <f t="shared" si="3"/>
        <v>No</v>
      </c>
    </row>
    <row r="258" spans="1:13" x14ac:dyDescent="0.3">
      <c r="A258" t="s">
        <v>284</v>
      </c>
      <c r="B258" t="s">
        <v>34</v>
      </c>
      <c r="C258">
        <v>2</v>
      </c>
      <c r="D258">
        <v>272.66000000000003</v>
      </c>
      <c r="E258">
        <v>2697.98</v>
      </c>
      <c r="F258">
        <v>80.64</v>
      </c>
      <c r="G258">
        <v>2453</v>
      </c>
      <c r="H258">
        <v>0.17</v>
      </c>
      <c r="I258">
        <v>1</v>
      </c>
      <c r="J258">
        <v>1992</v>
      </c>
      <c r="K258" t="s">
        <v>41</v>
      </c>
      <c r="L258" t="s">
        <v>15</v>
      </c>
      <c r="M258" t="str">
        <f t="shared" si="3"/>
        <v>No</v>
      </c>
    </row>
    <row r="259" spans="1:13" x14ac:dyDescent="0.3">
      <c r="A259" t="s">
        <v>285</v>
      </c>
      <c r="B259" t="s">
        <v>30</v>
      </c>
      <c r="C259">
        <v>5</v>
      </c>
      <c r="D259">
        <v>0.84</v>
      </c>
      <c r="E259">
        <v>8.23</v>
      </c>
      <c r="F259">
        <v>84.39</v>
      </c>
      <c r="G259">
        <v>475</v>
      </c>
      <c r="H259">
        <v>7.75</v>
      </c>
      <c r="I259">
        <v>0</v>
      </c>
      <c r="J259">
        <v>2016</v>
      </c>
      <c r="K259" t="s">
        <v>14</v>
      </c>
      <c r="L259" t="s">
        <v>26</v>
      </c>
      <c r="M259" t="str">
        <f t="shared" ref="M259:M322" si="4">IF(J259&gt;2010,"Yes","No")</f>
        <v>Yes</v>
      </c>
    </row>
    <row r="260" spans="1:13" x14ac:dyDescent="0.3">
      <c r="A260" t="s">
        <v>286</v>
      </c>
      <c r="B260" t="s">
        <v>25</v>
      </c>
      <c r="C260">
        <v>2</v>
      </c>
      <c r="D260">
        <v>167.08</v>
      </c>
      <c r="E260">
        <v>1285.27</v>
      </c>
      <c r="F260">
        <v>25.47</v>
      </c>
      <c r="G260">
        <v>1953</v>
      </c>
      <c r="H260">
        <v>6.29</v>
      </c>
      <c r="I260">
        <v>1</v>
      </c>
      <c r="J260">
        <v>1991</v>
      </c>
      <c r="K260" t="s">
        <v>32</v>
      </c>
      <c r="L260" t="s">
        <v>15</v>
      </c>
      <c r="M260" t="str">
        <f t="shared" si="4"/>
        <v>No</v>
      </c>
    </row>
    <row r="261" spans="1:13" x14ac:dyDescent="0.3">
      <c r="A261" t="s">
        <v>287</v>
      </c>
      <c r="B261" t="s">
        <v>13</v>
      </c>
      <c r="C261">
        <v>4</v>
      </c>
      <c r="D261">
        <v>227.11</v>
      </c>
      <c r="E261">
        <v>2047.13</v>
      </c>
      <c r="F261">
        <v>3.21</v>
      </c>
      <c r="G261">
        <v>3904</v>
      </c>
      <c r="H261">
        <v>3.8</v>
      </c>
      <c r="I261">
        <v>0</v>
      </c>
      <c r="J261">
        <v>2005</v>
      </c>
      <c r="K261" t="s">
        <v>18</v>
      </c>
      <c r="L261" t="s">
        <v>23</v>
      </c>
      <c r="M261" t="str">
        <f t="shared" si="4"/>
        <v>No</v>
      </c>
    </row>
    <row r="262" spans="1:13" x14ac:dyDescent="0.3">
      <c r="A262" t="s">
        <v>288</v>
      </c>
      <c r="B262" t="s">
        <v>75</v>
      </c>
      <c r="C262">
        <v>1</v>
      </c>
      <c r="D262">
        <v>77.98</v>
      </c>
      <c r="E262">
        <v>605.6</v>
      </c>
      <c r="F262">
        <v>73.959999999999994</v>
      </c>
      <c r="G262">
        <v>2015</v>
      </c>
      <c r="H262">
        <v>0.6</v>
      </c>
      <c r="I262">
        <v>1</v>
      </c>
      <c r="J262">
        <v>1991</v>
      </c>
      <c r="K262" t="s">
        <v>28</v>
      </c>
      <c r="L262" t="s">
        <v>26</v>
      </c>
      <c r="M262" t="str">
        <f t="shared" si="4"/>
        <v>No</v>
      </c>
    </row>
    <row r="263" spans="1:13" x14ac:dyDescent="0.3">
      <c r="A263" t="s">
        <v>289</v>
      </c>
      <c r="B263" t="s">
        <v>34</v>
      </c>
      <c r="C263">
        <v>5</v>
      </c>
      <c r="D263">
        <v>58.34</v>
      </c>
      <c r="E263">
        <v>552.88</v>
      </c>
      <c r="F263">
        <v>10.72</v>
      </c>
      <c r="G263">
        <v>3805</v>
      </c>
      <c r="H263">
        <v>6.31</v>
      </c>
      <c r="I263">
        <v>0</v>
      </c>
      <c r="J263">
        <v>2019</v>
      </c>
      <c r="K263" t="s">
        <v>28</v>
      </c>
      <c r="L263" t="s">
        <v>23</v>
      </c>
      <c r="M263" t="str">
        <f t="shared" si="4"/>
        <v>Yes</v>
      </c>
    </row>
    <row r="264" spans="1:13" x14ac:dyDescent="0.3">
      <c r="A264" t="s">
        <v>290</v>
      </c>
      <c r="B264" t="s">
        <v>17</v>
      </c>
      <c r="C264">
        <v>1</v>
      </c>
      <c r="D264">
        <v>25.69</v>
      </c>
      <c r="E264">
        <v>270.64999999999998</v>
      </c>
      <c r="F264">
        <v>31.56</v>
      </c>
      <c r="G264">
        <v>4123</v>
      </c>
      <c r="H264">
        <v>3.92</v>
      </c>
      <c r="I264">
        <v>0</v>
      </c>
      <c r="J264">
        <v>2009</v>
      </c>
      <c r="K264" t="s">
        <v>41</v>
      </c>
      <c r="L264" t="s">
        <v>23</v>
      </c>
      <c r="M264" t="str">
        <f t="shared" si="4"/>
        <v>No</v>
      </c>
    </row>
    <row r="265" spans="1:13" x14ac:dyDescent="0.3">
      <c r="A265" t="s">
        <v>291</v>
      </c>
      <c r="B265" t="s">
        <v>34</v>
      </c>
      <c r="C265">
        <v>1</v>
      </c>
      <c r="D265">
        <v>98.27</v>
      </c>
      <c r="E265">
        <v>1089.98</v>
      </c>
      <c r="F265">
        <v>0.48</v>
      </c>
      <c r="G265">
        <v>3801</v>
      </c>
      <c r="H265">
        <v>9.3699999999999992</v>
      </c>
      <c r="I265">
        <v>1</v>
      </c>
      <c r="J265">
        <v>2017</v>
      </c>
      <c r="K265" t="s">
        <v>32</v>
      </c>
      <c r="L265" t="s">
        <v>15</v>
      </c>
      <c r="M265" t="str">
        <f t="shared" si="4"/>
        <v>Yes</v>
      </c>
    </row>
    <row r="266" spans="1:13" x14ac:dyDescent="0.3">
      <c r="A266" t="s">
        <v>292</v>
      </c>
      <c r="B266" t="s">
        <v>17</v>
      </c>
      <c r="C266">
        <v>1</v>
      </c>
      <c r="D266">
        <v>168.17</v>
      </c>
      <c r="E266">
        <v>1579.08</v>
      </c>
      <c r="F266">
        <v>68.2</v>
      </c>
      <c r="G266">
        <v>3993</v>
      </c>
      <c r="H266">
        <v>5.47</v>
      </c>
      <c r="I266">
        <v>1</v>
      </c>
      <c r="J266">
        <v>2014</v>
      </c>
      <c r="K266" t="s">
        <v>18</v>
      </c>
      <c r="L266" t="s">
        <v>26</v>
      </c>
      <c r="M266" t="str">
        <f t="shared" si="4"/>
        <v>Yes</v>
      </c>
    </row>
    <row r="267" spans="1:13" x14ac:dyDescent="0.3">
      <c r="A267" t="s">
        <v>293</v>
      </c>
      <c r="B267" t="s">
        <v>30</v>
      </c>
      <c r="C267">
        <v>3</v>
      </c>
      <c r="D267">
        <v>35.200000000000003</v>
      </c>
      <c r="E267">
        <v>410.33</v>
      </c>
      <c r="F267">
        <v>16.8</v>
      </c>
      <c r="G267">
        <v>239</v>
      </c>
      <c r="H267">
        <v>9.4</v>
      </c>
      <c r="I267">
        <v>1</v>
      </c>
      <c r="J267">
        <v>2021</v>
      </c>
      <c r="K267" t="s">
        <v>32</v>
      </c>
      <c r="L267" t="s">
        <v>15</v>
      </c>
      <c r="M267" t="str">
        <f t="shared" si="4"/>
        <v>Yes</v>
      </c>
    </row>
    <row r="268" spans="1:13" x14ac:dyDescent="0.3">
      <c r="A268" t="s">
        <v>294</v>
      </c>
      <c r="B268" t="s">
        <v>17</v>
      </c>
      <c r="C268">
        <v>3</v>
      </c>
      <c r="D268">
        <v>113.32</v>
      </c>
      <c r="E268">
        <v>532.08000000000004</v>
      </c>
      <c r="F268">
        <v>65.56</v>
      </c>
      <c r="G268">
        <v>933</v>
      </c>
      <c r="H268">
        <v>2.2799999999999998</v>
      </c>
      <c r="I268">
        <v>0</v>
      </c>
      <c r="J268">
        <v>1999</v>
      </c>
      <c r="K268" t="s">
        <v>28</v>
      </c>
      <c r="L268" t="s">
        <v>15</v>
      </c>
      <c r="M268" t="str">
        <f t="shared" si="4"/>
        <v>No</v>
      </c>
    </row>
    <row r="269" spans="1:13" x14ac:dyDescent="0.3">
      <c r="A269" t="s">
        <v>295</v>
      </c>
      <c r="B269" t="s">
        <v>21</v>
      </c>
      <c r="C269">
        <v>1</v>
      </c>
      <c r="D269">
        <v>3.22</v>
      </c>
      <c r="E269">
        <v>17.850000000000001</v>
      </c>
      <c r="F269">
        <v>99.18</v>
      </c>
      <c r="G269">
        <v>3612</v>
      </c>
      <c r="H269">
        <v>7.28</v>
      </c>
      <c r="I269">
        <v>1</v>
      </c>
      <c r="J269">
        <v>2022</v>
      </c>
      <c r="K269" t="s">
        <v>32</v>
      </c>
      <c r="L269" t="s">
        <v>15</v>
      </c>
      <c r="M269" t="str">
        <f t="shared" si="4"/>
        <v>Yes</v>
      </c>
    </row>
    <row r="270" spans="1:13" x14ac:dyDescent="0.3">
      <c r="A270" t="s">
        <v>296</v>
      </c>
      <c r="B270" t="s">
        <v>75</v>
      </c>
      <c r="C270">
        <v>5</v>
      </c>
      <c r="D270">
        <v>245.69</v>
      </c>
      <c r="E270">
        <v>3150.93</v>
      </c>
      <c r="F270">
        <v>7.36</v>
      </c>
      <c r="G270">
        <v>527</v>
      </c>
      <c r="H270">
        <v>6.21</v>
      </c>
      <c r="I270">
        <v>0</v>
      </c>
      <c r="J270">
        <v>2002</v>
      </c>
      <c r="K270" t="s">
        <v>18</v>
      </c>
      <c r="L270" t="s">
        <v>23</v>
      </c>
      <c r="M270" t="str">
        <f t="shared" si="4"/>
        <v>No</v>
      </c>
    </row>
    <row r="271" spans="1:13" x14ac:dyDescent="0.3">
      <c r="A271" t="s">
        <v>297</v>
      </c>
      <c r="B271" t="s">
        <v>25</v>
      </c>
      <c r="C271">
        <v>4</v>
      </c>
      <c r="D271">
        <v>38.97</v>
      </c>
      <c r="E271">
        <v>267.74</v>
      </c>
      <c r="F271">
        <v>7.8</v>
      </c>
      <c r="G271">
        <v>3528</v>
      </c>
      <c r="H271">
        <v>7.42</v>
      </c>
      <c r="I271">
        <v>1</v>
      </c>
      <c r="J271">
        <v>2005</v>
      </c>
      <c r="K271" t="s">
        <v>41</v>
      </c>
      <c r="L271" t="s">
        <v>15</v>
      </c>
      <c r="M271" t="str">
        <f t="shared" si="4"/>
        <v>No</v>
      </c>
    </row>
    <row r="272" spans="1:13" x14ac:dyDescent="0.3">
      <c r="A272" t="s">
        <v>298</v>
      </c>
      <c r="B272" t="s">
        <v>17</v>
      </c>
      <c r="C272">
        <v>4</v>
      </c>
      <c r="D272">
        <v>85.36</v>
      </c>
      <c r="E272">
        <v>279.52999999999997</v>
      </c>
      <c r="F272">
        <v>34.1</v>
      </c>
      <c r="G272">
        <v>4531</v>
      </c>
      <c r="H272">
        <v>2.23</v>
      </c>
      <c r="I272">
        <v>0</v>
      </c>
      <c r="J272">
        <v>2011</v>
      </c>
      <c r="K272" t="s">
        <v>14</v>
      </c>
      <c r="L272" t="s">
        <v>15</v>
      </c>
      <c r="M272" t="str">
        <f t="shared" si="4"/>
        <v>Yes</v>
      </c>
    </row>
    <row r="273" spans="1:13" x14ac:dyDescent="0.3">
      <c r="A273" t="s">
        <v>299</v>
      </c>
      <c r="B273" t="s">
        <v>17</v>
      </c>
      <c r="C273">
        <v>2</v>
      </c>
      <c r="D273">
        <v>6.02</v>
      </c>
      <c r="E273">
        <v>29.17</v>
      </c>
      <c r="F273">
        <v>86.65</v>
      </c>
      <c r="G273">
        <v>4893</v>
      </c>
      <c r="H273">
        <v>6.68</v>
      </c>
      <c r="I273">
        <v>1</v>
      </c>
      <c r="J273">
        <v>2009</v>
      </c>
      <c r="K273" t="s">
        <v>32</v>
      </c>
      <c r="L273" t="s">
        <v>15</v>
      </c>
      <c r="M273" t="str">
        <f t="shared" si="4"/>
        <v>No</v>
      </c>
    </row>
    <row r="274" spans="1:13" x14ac:dyDescent="0.3">
      <c r="A274" t="s">
        <v>300</v>
      </c>
      <c r="B274" t="s">
        <v>25</v>
      </c>
      <c r="C274">
        <v>5</v>
      </c>
      <c r="D274">
        <v>129.96</v>
      </c>
      <c r="E274">
        <v>738.61</v>
      </c>
      <c r="F274">
        <v>21.63</v>
      </c>
      <c r="G274">
        <v>1634</v>
      </c>
      <c r="H274">
        <v>5.03</v>
      </c>
      <c r="I274">
        <v>1</v>
      </c>
      <c r="J274">
        <v>2016</v>
      </c>
      <c r="K274" t="s">
        <v>14</v>
      </c>
      <c r="L274" t="s">
        <v>15</v>
      </c>
      <c r="M274" t="str">
        <f t="shared" si="4"/>
        <v>Yes</v>
      </c>
    </row>
    <row r="275" spans="1:13" x14ac:dyDescent="0.3">
      <c r="A275" t="s">
        <v>301</v>
      </c>
      <c r="B275" t="s">
        <v>75</v>
      </c>
      <c r="C275">
        <v>3</v>
      </c>
      <c r="D275">
        <v>252.12</v>
      </c>
      <c r="E275">
        <v>3652.68</v>
      </c>
      <c r="F275">
        <v>36.1</v>
      </c>
      <c r="G275">
        <v>4633</v>
      </c>
      <c r="H275">
        <v>7.45</v>
      </c>
      <c r="I275">
        <v>1</v>
      </c>
      <c r="J275">
        <v>2005</v>
      </c>
      <c r="K275" t="s">
        <v>28</v>
      </c>
      <c r="L275" t="s">
        <v>15</v>
      </c>
      <c r="M275" t="str">
        <f t="shared" si="4"/>
        <v>No</v>
      </c>
    </row>
    <row r="276" spans="1:13" x14ac:dyDescent="0.3">
      <c r="A276" t="s">
        <v>302</v>
      </c>
      <c r="B276" t="s">
        <v>34</v>
      </c>
      <c r="C276">
        <v>1</v>
      </c>
      <c r="D276">
        <v>117.95</v>
      </c>
      <c r="E276">
        <v>1164.93</v>
      </c>
      <c r="F276">
        <v>6.94</v>
      </c>
      <c r="G276">
        <v>1321</v>
      </c>
      <c r="H276">
        <v>3.34</v>
      </c>
      <c r="I276">
        <v>0</v>
      </c>
      <c r="J276">
        <v>2021</v>
      </c>
      <c r="K276" t="s">
        <v>41</v>
      </c>
      <c r="L276" t="s">
        <v>15</v>
      </c>
      <c r="M276" t="str">
        <f t="shared" si="4"/>
        <v>Yes</v>
      </c>
    </row>
    <row r="277" spans="1:13" x14ac:dyDescent="0.3">
      <c r="A277" t="s">
        <v>303</v>
      </c>
      <c r="B277" t="s">
        <v>17</v>
      </c>
      <c r="C277">
        <v>2</v>
      </c>
      <c r="D277">
        <v>54.26</v>
      </c>
      <c r="E277">
        <v>770.1</v>
      </c>
      <c r="F277">
        <v>76.34</v>
      </c>
      <c r="G277">
        <v>2862</v>
      </c>
      <c r="H277">
        <v>8.91</v>
      </c>
      <c r="I277">
        <v>0</v>
      </c>
      <c r="J277">
        <v>2015</v>
      </c>
      <c r="K277" t="s">
        <v>41</v>
      </c>
      <c r="L277" t="s">
        <v>15</v>
      </c>
      <c r="M277" t="str">
        <f t="shared" si="4"/>
        <v>Yes</v>
      </c>
    </row>
    <row r="278" spans="1:13" x14ac:dyDescent="0.3">
      <c r="A278" t="s">
        <v>304</v>
      </c>
      <c r="B278" t="s">
        <v>25</v>
      </c>
      <c r="C278">
        <v>4</v>
      </c>
      <c r="D278">
        <v>226.23</v>
      </c>
      <c r="E278">
        <v>2240.12</v>
      </c>
      <c r="F278">
        <v>40.89</v>
      </c>
      <c r="G278">
        <v>1129</v>
      </c>
      <c r="H278">
        <v>0.93</v>
      </c>
      <c r="I278">
        <v>1</v>
      </c>
      <c r="J278">
        <v>2014</v>
      </c>
      <c r="K278" t="s">
        <v>32</v>
      </c>
      <c r="L278" t="s">
        <v>15</v>
      </c>
      <c r="M278" t="str">
        <f t="shared" si="4"/>
        <v>Yes</v>
      </c>
    </row>
    <row r="279" spans="1:13" x14ac:dyDescent="0.3">
      <c r="A279" t="s">
        <v>305</v>
      </c>
      <c r="B279" t="s">
        <v>21</v>
      </c>
      <c r="C279">
        <v>3</v>
      </c>
      <c r="D279">
        <v>236.75</v>
      </c>
      <c r="E279">
        <v>2072.1</v>
      </c>
      <c r="F279">
        <v>75.95</v>
      </c>
      <c r="G279">
        <v>2592</v>
      </c>
      <c r="H279">
        <v>8.09</v>
      </c>
      <c r="I279">
        <v>0</v>
      </c>
      <c r="J279">
        <v>1991</v>
      </c>
      <c r="K279" t="s">
        <v>41</v>
      </c>
      <c r="L279" t="s">
        <v>23</v>
      </c>
      <c r="M279" t="str">
        <f t="shared" si="4"/>
        <v>No</v>
      </c>
    </row>
    <row r="280" spans="1:13" x14ac:dyDescent="0.3">
      <c r="A280" t="s">
        <v>306</v>
      </c>
      <c r="B280" t="s">
        <v>21</v>
      </c>
      <c r="C280">
        <v>3</v>
      </c>
      <c r="D280">
        <v>52.54</v>
      </c>
      <c r="E280">
        <v>355.42</v>
      </c>
      <c r="F280">
        <v>90.37</v>
      </c>
      <c r="G280">
        <v>1028</v>
      </c>
      <c r="H280">
        <v>8.6300000000000008</v>
      </c>
      <c r="I280">
        <v>1</v>
      </c>
      <c r="J280">
        <v>2001</v>
      </c>
      <c r="K280" t="s">
        <v>32</v>
      </c>
      <c r="L280" t="s">
        <v>15</v>
      </c>
      <c r="M280" t="str">
        <f t="shared" si="4"/>
        <v>No</v>
      </c>
    </row>
    <row r="281" spans="1:13" x14ac:dyDescent="0.3">
      <c r="A281" t="s">
        <v>307</v>
      </c>
      <c r="B281" t="s">
        <v>30</v>
      </c>
      <c r="C281">
        <v>1</v>
      </c>
      <c r="D281">
        <v>231.37</v>
      </c>
      <c r="E281">
        <v>2377.66</v>
      </c>
      <c r="F281">
        <v>23.35</v>
      </c>
      <c r="G281">
        <v>1383</v>
      </c>
      <c r="H281">
        <v>8.19</v>
      </c>
      <c r="I281">
        <v>0</v>
      </c>
      <c r="J281">
        <v>1998</v>
      </c>
      <c r="K281" t="s">
        <v>32</v>
      </c>
      <c r="L281" t="s">
        <v>23</v>
      </c>
      <c r="M281" t="str">
        <f t="shared" si="4"/>
        <v>No</v>
      </c>
    </row>
    <row r="282" spans="1:13" x14ac:dyDescent="0.3">
      <c r="A282" t="s">
        <v>308</v>
      </c>
      <c r="B282" t="s">
        <v>25</v>
      </c>
      <c r="C282">
        <v>4</v>
      </c>
      <c r="D282">
        <v>284.22000000000003</v>
      </c>
      <c r="E282">
        <v>1327.41</v>
      </c>
      <c r="F282">
        <v>80.760000000000005</v>
      </c>
      <c r="G282">
        <v>3379</v>
      </c>
      <c r="H282">
        <v>5.18</v>
      </c>
      <c r="I282">
        <v>0</v>
      </c>
      <c r="J282">
        <v>2001</v>
      </c>
      <c r="K282" t="s">
        <v>14</v>
      </c>
      <c r="L282" t="s">
        <v>15</v>
      </c>
      <c r="M282" t="str">
        <f t="shared" si="4"/>
        <v>No</v>
      </c>
    </row>
    <row r="283" spans="1:13" x14ac:dyDescent="0.3">
      <c r="A283" t="s">
        <v>309</v>
      </c>
      <c r="B283" t="s">
        <v>30</v>
      </c>
      <c r="C283">
        <v>5</v>
      </c>
      <c r="D283">
        <v>50.33</v>
      </c>
      <c r="E283">
        <v>693.5</v>
      </c>
      <c r="F283">
        <v>6</v>
      </c>
      <c r="G283">
        <v>1524</v>
      </c>
      <c r="H283">
        <v>4.4400000000000004</v>
      </c>
      <c r="I283">
        <v>1</v>
      </c>
      <c r="J283">
        <v>2015</v>
      </c>
      <c r="K283" t="s">
        <v>41</v>
      </c>
      <c r="L283" t="s">
        <v>15</v>
      </c>
      <c r="M283" t="str">
        <f t="shared" si="4"/>
        <v>Yes</v>
      </c>
    </row>
    <row r="284" spans="1:13" x14ac:dyDescent="0.3">
      <c r="A284" t="s">
        <v>310</v>
      </c>
      <c r="B284" t="s">
        <v>21</v>
      </c>
      <c r="C284">
        <v>3</v>
      </c>
      <c r="D284">
        <v>231.41</v>
      </c>
      <c r="E284">
        <v>2997.22</v>
      </c>
      <c r="F284">
        <v>89.89</v>
      </c>
      <c r="G284">
        <v>231</v>
      </c>
      <c r="H284">
        <v>9.9600000000000009</v>
      </c>
      <c r="I284">
        <v>1</v>
      </c>
      <c r="J284">
        <v>1998</v>
      </c>
      <c r="K284" t="s">
        <v>32</v>
      </c>
      <c r="L284" t="s">
        <v>15</v>
      </c>
      <c r="M284" t="str">
        <f t="shared" si="4"/>
        <v>No</v>
      </c>
    </row>
    <row r="285" spans="1:13" x14ac:dyDescent="0.3">
      <c r="A285" t="s">
        <v>311</v>
      </c>
      <c r="B285" t="s">
        <v>75</v>
      </c>
      <c r="C285">
        <v>1</v>
      </c>
      <c r="D285">
        <v>212.72</v>
      </c>
      <c r="E285">
        <v>1448.7</v>
      </c>
      <c r="F285">
        <v>65.11</v>
      </c>
      <c r="G285">
        <v>4973</v>
      </c>
      <c r="H285">
        <v>2.37</v>
      </c>
      <c r="I285">
        <v>0</v>
      </c>
      <c r="J285">
        <v>1999</v>
      </c>
      <c r="K285" t="s">
        <v>14</v>
      </c>
      <c r="L285" t="s">
        <v>15</v>
      </c>
      <c r="M285" t="str">
        <f t="shared" si="4"/>
        <v>No</v>
      </c>
    </row>
    <row r="286" spans="1:13" x14ac:dyDescent="0.3">
      <c r="A286" t="s">
        <v>312</v>
      </c>
      <c r="B286" t="s">
        <v>34</v>
      </c>
      <c r="C286">
        <v>5</v>
      </c>
      <c r="D286">
        <v>142.34</v>
      </c>
      <c r="E286">
        <v>2054.4699999999998</v>
      </c>
      <c r="F286">
        <v>87.44</v>
      </c>
      <c r="G286">
        <v>896</v>
      </c>
      <c r="H286">
        <v>5.51</v>
      </c>
      <c r="I286">
        <v>0</v>
      </c>
      <c r="J286">
        <v>2021</v>
      </c>
      <c r="K286" t="s">
        <v>18</v>
      </c>
      <c r="L286" t="s">
        <v>15</v>
      </c>
      <c r="M286" t="str">
        <f t="shared" si="4"/>
        <v>Yes</v>
      </c>
    </row>
    <row r="287" spans="1:13" x14ac:dyDescent="0.3">
      <c r="A287" t="s">
        <v>313</v>
      </c>
      <c r="B287" t="s">
        <v>25</v>
      </c>
      <c r="C287">
        <v>4</v>
      </c>
      <c r="D287">
        <v>17.850000000000001</v>
      </c>
      <c r="E287">
        <v>230.31</v>
      </c>
      <c r="F287">
        <v>0.12</v>
      </c>
      <c r="G287">
        <v>4077</v>
      </c>
      <c r="H287">
        <v>6.74</v>
      </c>
      <c r="I287">
        <v>0</v>
      </c>
      <c r="J287">
        <v>2009</v>
      </c>
      <c r="K287" t="s">
        <v>14</v>
      </c>
      <c r="L287" t="s">
        <v>15</v>
      </c>
      <c r="M287" t="str">
        <f t="shared" si="4"/>
        <v>No</v>
      </c>
    </row>
    <row r="288" spans="1:13" x14ac:dyDescent="0.3">
      <c r="A288" t="s">
        <v>314</v>
      </c>
      <c r="B288" t="s">
        <v>13</v>
      </c>
      <c r="C288">
        <v>3</v>
      </c>
      <c r="D288">
        <v>22.87</v>
      </c>
      <c r="E288">
        <v>251.47</v>
      </c>
      <c r="F288">
        <v>16.989999999999998</v>
      </c>
      <c r="G288">
        <v>2262</v>
      </c>
      <c r="H288">
        <v>7.04</v>
      </c>
      <c r="I288">
        <v>1</v>
      </c>
      <c r="J288">
        <v>1991</v>
      </c>
      <c r="K288" t="s">
        <v>14</v>
      </c>
      <c r="L288" t="s">
        <v>15</v>
      </c>
      <c r="M288" t="str">
        <f t="shared" si="4"/>
        <v>No</v>
      </c>
    </row>
    <row r="289" spans="1:13" x14ac:dyDescent="0.3">
      <c r="A289" t="s">
        <v>315</v>
      </c>
      <c r="B289" t="s">
        <v>21</v>
      </c>
      <c r="C289">
        <v>5</v>
      </c>
      <c r="D289">
        <v>255.8</v>
      </c>
      <c r="E289">
        <v>1141.1600000000001</v>
      </c>
      <c r="F289">
        <v>39.04</v>
      </c>
      <c r="G289">
        <v>2793</v>
      </c>
      <c r="H289">
        <v>2.12</v>
      </c>
      <c r="I289">
        <v>0</v>
      </c>
      <c r="J289">
        <v>1990</v>
      </c>
      <c r="K289" t="s">
        <v>32</v>
      </c>
      <c r="L289" t="s">
        <v>15</v>
      </c>
      <c r="M289" t="str">
        <f t="shared" si="4"/>
        <v>No</v>
      </c>
    </row>
    <row r="290" spans="1:13" x14ac:dyDescent="0.3">
      <c r="A290" t="s">
        <v>316</v>
      </c>
      <c r="B290" t="s">
        <v>21</v>
      </c>
      <c r="C290">
        <v>5</v>
      </c>
      <c r="D290">
        <v>297.05</v>
      </c>
      <c r="E290">
        <v>2595.86</v>
      </c>
      <c r="F290">
        <v>38.01</v>
      </c>
      <c r="G290">
        <v>401</v>
      </c>
      <c r="H290">
        <v>6.57</v>
      </c>
      <c r="I290">
        <v>1</v>
      </c>
      <c r="J290">
        <v>2013</v>
      </c>
      <c r="K290" t="s">
        <v>28</v>
      </c>
      <c r="L290" t="s">
        <v>23</v>
      </c>
      <c r="M290" t="str">
        <f t="shared" si="4"/>
        <v>Yes</v>
      </c>
    </row>
    <row r="291" spans="1:13" x14ac:dyDescent="0.3">
      <c r="A291" t="s">
        <v>317</v>
      </c>
      <c r="B291" t="s">
        <v>13</v>
      </c>
      <c r="C291">
        <v>5</v>
      </c>
      <c r="D291">
        <v>202.98</v>
      </c>
      <c r="E291">
        <v>1841.7</v>
      </c>
      <c r="F291">
        <v>22.75</v>
      </c>
      <c r="G291">
        <v>2083</v>
      </c>
      <c r="H291">
        <v>8.1999999999999993</v>
      </c>
      <c r="I291">
        <v>1</v>
      </c>
      <c r="J291">
        <v>2016</v>
      </c>
      <c r="K291" t="s">
        <v>28</v>
      </c>
      <c r="L291" t="s">
        <v>15</v>
      </c>
      <c r="M291" t="str">
        <f t="shared" si="4"/>
        <v>Yes</v>
      </c>
    </row>
    <row r="292" spans="1:13" x14ac:dyDescent="0.3">
      <c r="A292" t="s">
        <v>318</v>
      </c>
      <c r="B292" t="s">
        <v>39</v>
      </c>
      <c r="C292">
        <v>3</v>
      </c>
      <c r="D292">
        <v>134.06</v>
      </c>
      <c r="E292">
        <v>776.29</v>
      </c>
      <c r="F292">
        <v>38.22</v>
      </c>
      <c r="G292">
        <v>4749</v>
      </c>
      <c r="H292">
        <v>0.6</v>
      </c>
      <c r="I292">
        <v>0</v>
      </c>
      <c r="J292">
        <v>1991</v>
      </c>
      <c r="K292" t="s">
        <v>28</v>
      </c>
      <c r="L292" t="s">
        <v>15</v>
      </c>
      <c r="M292" t="str">
        <f t="shared" si="4"/>
        <v>No</v>
      </c>
    </row>
    <row r="293" spans="1:13" x14ac:dyDescent="0.3">
      <c r="A293" t="s">
        <v>319</v>
      </c>
      <c r="B293" t="s">
        <v>21</v>
      </c>
      <c r="C293">
        <v>3</v>
      </c>
      <c r="D293">
        <v>194.45</v>
      </c>
      <c r="E293">
        <v>769.94</v>
      </c>
      <c r="F293">
        <v>12.97</v>
      </c>
      <c r="G293">
        <v>4429</v>
      </c>
      <c r="H293">
        <v>9.1199999999999992</v>
      </c>
      <c r="I293">
        <v>1</v>
      </c>
      <c r="J293">
        <v>2020</v>
      </c>
      <c r="K293" t="s">
        <v>14</v>
      </c>
      <c r="L293" t="s">
        <v>23</v>
      </c>
      <c r="M293" t="str">
        <f t="shared" si="4"/>
        <v>Yes</v>
      </c>
    </row>
    <row r="294" spans="1:13" x14ac:dyDescent="0.3">
      <c r="A294" t="s">
        <v>320</v>
      </c>
      <c r="B294" t="s">
        <v>17</v>
      </c>
      <c r="C294">
        <v>2</v>
      </c>
      <c r="D294">
        <v>178.52</v>
      </c>
      <c r="E294">
        <v>2199.4899999999998</v>
      </c>
      <c r="F294">
        <v>41.33</v>
      </c>
      <c r="G294">
        <v>3242</v>
      </c>
      <c r="H294">
        <v>0.39</v>
      </c>
      <c r="I294">
        <v>0</v>
      </c>
      <c r="J294">
        <v>2003</v>
      </c>
      <c r="K294" t="s">
        <v>32</v>
      </c>
      <c r="L294" t="s">
        <v>15</v>
      </c>
      <c r="M294" t="str">
        <f t="shared" si="4"/>
        <v>No</v>
      </c>
    </row>
    <row r="295" spans="1:13" x14ac:dyDescent="0.3">
      <c r="A295" t="s">
        <v>321</v>
      </c>
      <c r="B295" t="s">
        <v>75</v>
      </c>
      <c r="C295">
        <v>4</v>
      </c>
      <c r="D295">
        <v>115.39</v>
      </c>
      <c r="E295">
        <v>515.15</v>
      </c>
      <c r="F295">
        <v>80.260000000000005</v>
      </c>
      <c r="G295">
        <v>3898</v>
      </c>
      <c r="H295">
        <v>3.62</v>
      </c>
      <c r="I295">
        <v>0</v>
      </c>
      <c r="J295">
        <v>1991</v>
      </c>
      <c r="K295" t="s">
        <v>41</v>
      </c>
      <c r="L295" t="s">
        <v>23</v>
      </c>
      <c r="M295" t="str">
        <f t="shared" si="4"/>
        <v>No</v>
      </c>
    </row>
    <row r="296" spans="1:13" x14ac:dyDescent="0.3">
      <c r="A296" t="s">
        <v>322</v>
      </c>
      <c r="B296" t="s">
        <v>25</v>
      </c>
      <c r="C296">
        <v>1</v>
      </c>
      <c r="D296">
        <v>20.16</v>
      </c>
      <c r="E296">
        <v>204.25</v>
      </c>
      <c r="F296">
        <v>47.96</v>
      </c>
      <c r="G296">
        <v>2010</v>
      </c>
      <c r="H296">
        <v>0.26</v>
      </c>
      <c r="I296">
        <v>1</v>
      </c>
      <c r="J296">
        <v>2018</v>
      </c>
      <c r="K296" t="s">
        <v>14</v>
      </c>
      <c r="L296" t="s">
        <v>15</v>
      </c>
      <c r="M296" t="str">
        <f t="shared" si="4"/>
        <v>Yes</v>
      </c>
    </row>
    <row r="297" spans="1:13" x14ac:dyDescent="0.3">
      <c r="A297" t="s">
        <v>323</v>
      </c>
      <c r="B297" t="s">
        <v>13</v>
      </c>
      <c r="C297">
        <v>5</v>
      </c>
      <c r="D297">
        <v>246.54</v>
      </c>
      <c r="E297">
        <v>3510.09</v>
      </c>
      <c r="F297">
        <v>1.9</v>
      </c>
      <c r="G297">
        <v>2021</v>
      </c>
      <c r="H297">
        <v>0.86</v>
      </c>
      <c r="I297">
        <v>0</v>
      </c>
      <c r="J297">
        <v>2004</v>
      </c>
      <c r="K297" t="s">
        <v>14</v>
      </c>
      <c r="L297" t="s">
        <v>15</v>
      </c>
      <c r="M297" t="str">
        <f t="shared" si="4"/>
        <v>No</v>
      </c>
    </row>
    <row r="298" spans="1:13" x14ac:dyDescent="0.3">
      <c r="A298" t="s">
        <v>324</v>
      </c>
      <c r="B298" t="s">
        <v>17</v>
      </c>
      <c r="C298">
        <v>2</v>
      </c>
      <c r="D298">
        <v>111.86</v>
      </c>
      <c r="E298">
        <v>1511.59</v>
      </c>
      <c r="F298">
        <v>42.2</v>
      </c>
      <c r="G298">
        <v>3176</v>
      </c>
      <c r="H298">
        <v>9.1199999999999992</v>
      </c>
      <c r="I298">
        <v>0</v>
      </c>
      <c r="J298">
        <v>2001</v>
      </c>
      <c r="K298" t="s">
        <v>32</v>
      </c>
      <c r="L298" t="s">
        <v>15</v>
      </c>
      <c r="M298" t="str">
        <f t="shared" si="4"/>
        <v>No</v>
      </c>
    </row>
    <row r="299" spans="1:13" x14ac:dyDescent="0.3">
      <c r="A299" t="s">
        <v>325</v>
      </c>
      <c r="B299" t="s">
        <v>13</v>
      </c>
      <c r="C299">
        <v>1</v>
      </c>
      <c r="D299">
        <v>245.73</v>
      </c>
      <c r="E299">
        <v>1556.22</v>
      </c>
      <c r="F299">
        <v>2.81</v>
      </c>
      <c r="G299">
        <v>2673</v>
      </c>
      <c r="H299">
        <v>3.61</v>
      </c>
      <c r="I299">
        <v>0</v>
      </c>
      <c r="J299">
        <v>2017</v>
      </c>
      <c r="K299" t="s">
        <v>18</v>
      </c>
      <c r="L299" t="s">
        <v>23</v>
      </c>
      <c r="M299" t="str">
        <f t="shared" si="4"/>
        <v>Yes</v>
      </c>
    </row>
    <row r="300" spans="1:13" x14ac:dyDescent="0.3">
      <c r="A300" t="s">
        <v>326</v>
      </c>
      <c r="B300" t="s">
        <v>25</v>
      </c>
      <c r="C300">
        <v>2</v>
      </c>
      <c r="D300">
        <v>76.13</v>
      </c>
      <c r="E300">
        <v>1006.24</v>
      </c>
      <c r="F300">
        <v>96.63</v>
      </c>
      <c r="G300">
        <v>1883</v>
      </c>
      <c r="H300">
        <v>4.3099999999999996</v>
      </c>
      <c r="I300">
        <v>0</v>
      </c>
      <c r="J300">
        <v>2009</v>
      </c>
      <c r="K300" t="s">
        <v>14</v>
      </c>
      <c r="L300" t="s">
        <v>26</v>
      </c>
      <c r="M300" t="str">
        <f t="shared" si="4"/>
        <v>No</v>
      </c>
    </row>
    <row r="301" spans="1:13" x14ac:dyDescent="0.3">
      <c r="A301" t="s">
        <v>327</v>
      </c>
      <c r="B301" t="s">
        <v>30</v>
      </c>
      <c r="C301">
        <v>3</v>
      </c>
      <c r="D301">
        <v>0.81</v>
      </c>
      <c r="E301">
        <v>2.4300000000000002</v>
      </c>
      <c r="F301">
        <v>12.83</v>
      </c>
      <c r="G301">
        <v>1201</v>
      </c>
      <c r="H301">
        <v>2.23</v>
      </c>
      <c r="I301">
        <v>0</v>
      </c>
      <c r="J301">
        <v>2013</v>
      </c>
      <c r="K301" t="s">
        <v>18</v>
      </c>
      <c r="L301" t="s">
        <v>23</v>
      </c>
      <c r="M301" t="str">
        <f t="shared" si="4"/>
        <v>Yes</v>
      </c>
    </row>
    <row r="302" spans="1:13" x14ac:dyDescent="0.3">
      <c r="A302" t="s">
        <v>328</v>
      </c>
      <c r="B302" t="s">
        <v>25</v>
      </c>
      <c r="C302">
        <v>5</v>
      </c>
      <c r="D302">
        <v>48.1</v>
      </c>
      <c r="E302">
        <v>154.51</v>
      </c>
      <c r="F302">
        <v>70.8</v>
      </c>
      <c r="G302">
        <v>1777</v>
      </c>
      <c r="H302">
        <v>6.01</v>
      </c>
      <c r="I302">
        <v>1</v>
      </c>
      <c r="J302">
        <v>2010</v>
      </c>
      <c r="K302" t="s">
        <v>18</v>
      </c>
      <c r="L302" t="s">
        <v>15</v>
      </c>
      <c r="M302" t="str">
        <f t="shared" si="4"/>
        <v>No</v>
      </c>
    </row>
    <row r="303" spans="1:13" x14ac:dyDescent="0.3">
      <c r="A303" t="s">
        <v>329</v>
      </c>
      <c r="B303" t="s">
        <v>39</v>
      </c>
      <c r="C303">
        <v>1</v>
      </c>
      <c r="D303">
        <v>140.83000000000001</v>
      </c>
      <c r="E303">
        <v>1440.78</v>
      </c>
      <c r="F303">
        <v>97.28</v>
      </c>
      <c r="G303">
        <v>166</v>
      </c>
      <c r="H303">
        <v>5.99</v>
      </c>
      <c r="I303">
        <v>1</v>
      </c>
      <c r="J303">
        <v>1999</v>
      </c>
      <c r="K303" t="s">
        <v>28</v>
      </c>
      <c r="L303" t="s">
        <v>15</v>
      </c>
      <c r="M303" t="str">
        <f t="shared" si="4"/>
        <v>No</v>
      </c>
    </row>
    <row r="304" spans="1:13" x14ac:dyDescent="0.3">
      <c r="A304" t="s">
        <v>330</v>
      </c>
      <c r="B304" t="s">
        <v>25</v>
      </c>
      <c r="C304">
        <v>1</v>
      </c>
      <c r="D304">
        <v>283.32</v>
      </c>
      <c r="E304">
        <v>2090.2199999999998</v>
      </c>
      <c r="F304">
        <v>82.62</v>
      </c>
      <c r="G304">
        <v>3981</v>
      </c>
      <c r="H304">
        <v>3.78</v>
      </c>
      <c r="I304">
        <v>1</v>
      </c>
      <c r="J304">
        <v>2003</v>
      </c>
      <c r="K304" t="s">
        <v>32</v>
      </c>
      <c r="L304" t="s">
        <v>15</v>
      </c>
      <c r="M304" t="str">
        <f t="shared" si="4"/>
        <v>No</v>
      </c>
    </row>
    <row r="305" spans="1:13" x14ac:dyDescent="0.3">
      <c r="A305" t="s">
        <v>331</v>
      </c>
      <c r="B305" t="s">
        <v>25</v>
      </c>
      <c r="C305">
        <v>1</v>
      </c>
      <c r="D305">
        <v>31.11</v>
      </c>
      <c r="E305">
        <v>237.6</v>
      </c>
      <c r="F305">
        <v>69.959999999999994</v>
      </c>
      <c r="G305">
        <v>1756</v>
      </c>
      <c r="H305">
        <v>3.4</v>
      </c>
      <c r="I305">
        <v>0</v>
      </c>
      <c r="J305">
        <v>2007</v>
      </c>
      <c r="K305" t="s">
        <v>18</v>
      </c>
      <c r="L305" t="s">
        <v>15</v>
      </c>
      <c r="M305" t="str">
        <f t="shared" si="4"/>
        <v>No</v>
      </c>
    </row>
    <row r="306" spans="1:13" x14ac:dyDescent="0.3">
      <c r="A306" t="s">
        <v>332</v>
      </c>
      <c r="B306" t="s">
        <v>39</v>
      </c>
      <c r="C306">
        <v>1</v>
      </c>
      <c r="D306">
        <v>256.33999999999997</v>
      </c>
      <c r="E306">
        <v>2505.29</v>
      </c>
      <c r="F306">
        <v>83.96</v>
      </c>
      <c r="G306">
        <v>780</v>
      </c>
      <c r="H306">
        <v>8.86</v>
      </c>
      <c r="I306">
        <v>0</v>
      </c>
      <c r="J306">
        <v>2013</v>
      </c>
      <c r="K306" t="s">
        <v>32</v>
      </c>
      <c r="L306" t="s">
        <v>15</v>
      </c>
      <c r="M306" t="str">
        <f t="shared" si="4"/>
        <v>Yes</v>
      </c>
    </row>
    <row r="307" spans="1:13" x14ac:dyDescent="0.3">
      <c r="A307" t="s">
        <v>333</v>
      </c>
      <c r="B307" t="s">
        <v>75</v>
      </c>
      <c r="C307">
        <v>1</v>
      </c>
      <c r="D307">
        <v>158.34</v>
      </c>
      <c r="E307">
        <v>839.42</v>
      </c>
      <c r="F307">
        <v>98.18</v>
      </c>
      <c r="G307">
        <v>944</v>
      </c>
      <c r="H307">
        <v>3.89</v>
      </c>
      <c r="I307">
        <v>0</v>
      </c>
      <c r="J307">
        <v>2003</v>
      </c>
      <c r="K307" t="s">
        <v>28</v>
      </c>
      <c r="L307" t="s">
        <v>15</v>
      </c>
      <c r="M307" t="str">
        <f t="shared" si="4"/>
        <v>No</v>
      </c>
    </row>
    <row r="308" spans="1:13" x14ac:dyDescent="0.3">
      <c r="A308" t="s">
        <v>334</v>
      </c>
      <c r="B308" t="s">
        <v>21</v>
      </c>
      <c r="C308">
        <v>2</v>
      </c>
      <c r="D308">
        <v>247.86</v>
      </c>
      <c r="E308">
        <v>1373.41</v>
      </c>
      <c r="F308">
        <v>62.17</v>
      </c>
      <c r="G308">
        <v>3225</v>
      </c>
      <c r="H308">
        <v>4.99</v>
      </c>
      <c r="I308">
        <v>0</v>
      </c>
      <c r="J308">
        <v>2001</v>
      </c>
      <c r="K308" t="s">
        <v>32</v>
      </c>
      <c r="L308" t="s">
        <v>15</v>
      </c>
      <c r="M308" t="str">
        <f t="shared" si="4"/>
        <v>No</v>
      </c>
    </row>
    <row r="309" spans="1:13" x14ac:dyDescent="0.3">
      <c r="A309" t="s">
        <v>335</v>
      </c>
      <c r="B309" t="s">
        <v>25</v>
      </c>
      <c r="C309">
        <v>5</v>
      </c>
      <c r="D309">
        <v>89.86</v>
      </c>
      <c r="E309">
        <v>792.14</v>
      </c>
      <c r="F309">
        <v>55.96</v>
      </c>
      <c r="G309">
        <v>544</v>
      </c>
      <c r="H309">
        <v>2.9</v>
      </c>
      <c r="I309">
        <v>0</v>
      </c>
      <c r="J309">
        <v>2011</v>
      </c>
      <c r="K309" t="s">
        <v>14</v>
      </c>
      <c r="L309" t="s">
        <v>15</v>
      </c>
      <c r="M309" t="str">
        <f t="shared" si="4"/>
        <v>Yes</v>
      </c>
    </row>
    <row r="310" spans="1:13" x14ac:dyDescent="0.3">
      <c r="A310" t="s">
        <v>336</v>
      </c>
      <c r="B310" t="s">
        <v>39</v>
      </c>
      <c r="C310">
        <v>3</v>
      </c>
      <c r="D310">
        <v>252.06</v>
      </c>
      <c r="E310">
        <v>3037.59</v>
      </c>
      <c r="F310">
        <v>62.86</v>
      </c>
      <c r="G310">
        <v>4922</v>
      </c>
      <c r="H310">
        <v>7.89</v>
      </c>
      <c r="I310">
        <v>0</v>
      </c>
      <c r="J310">
        <v>1995</v>
      </c>
      <c r="K310" t="s">
        <v>18</v>
      </c>
      <c r="L310" t="s">
        <v>15</v>
      </c>
      <c r="M310" t="str">
        <f t="shared" si="4"/>
        <v>No</v>
      </c>
    </row>
    <row r="311" spans="1:13" x14ac:dyDescent="0.3">
      <c r="A311" t="s">
        <v>337</v>
      </c>
      <c r="B311" t="s">
        <v>17</v>
      </c>
      <c r="C311">
        <v>3</v>
      </c>
      <c r="D311">
        <v>231.96</v>
      </c>
      <c r="E311">
        <v>2420.2600000000002</v>
      </c>
      <c r="F311">
        <v>53.31</v>
      </c>
      <c r="G311">
        <v>1466</v>
      </c>
      <c r="H311">
        <v>4.03</v>
      </c>
      <c r="I311">
        <v>0</v>
      </c>
      <c r="J311">
        <v>2011</v>
      </c>
      <c r="K311" t="s">
        <v>32</v>
      </c>
      <c r="L311" t="s">
        <v>26</v>
      </c>
      <c r="M311" t="str">
        <f t="shared" si="4"/>
        <v>Yes</v>
      </c>
    </row>
    <row r="312" spans="1:13" x14ac:dyDescent="0.3">
      <c r="A312" t="s">
        <v>338</v>
      </c>
      <c r="B312" t="s">
        <v>30</v>
      </c>
      <c r="C312">
        <v>3</v>
      </c>
      <c r="D312">
        <v>69.400000000000006</v>
      </c>
      <c r="E312">
        <v>455.84</v>
      </c>
      <c r="F312">
        <v>63.55</v>
      </c>
      <c r="G312">
        <v>360</v>
      </c>
      <c r="H312">
        <v>5.18</v>
      </c>
      <c r="I312">
        <v>0</v>
      </c>
      <c r="J312">
        <v>2003</v>
      </c>
      <c r="K312" t="s">
        <v>41</v>
      </c>
      <c r="L312" t="s">
        <v>23</v>
      </c>
      <c r="M312" t="str">
        <f t="shared" si="4"/>
        <v>No</v>
      </c>
    </row>
    <row r="313" spans="1:13" x14ac:dyDescent="0.3">
      <c r="A313" t="s">
        <v>339</v>
      </c>
      <c r="B313" t="s">
        <v>30</v>
      </c>
      <c r="C313">
        <v>3</v>
      </c>
      <c r="D313">
        <v>39.83</v>
      </c>
      <c r="E313">
        <v>325.17</v>
      </c>
      <c r="F313">
        <v>45.04</v>
      </c>
      <c r="G313">
        <v>3609</v>
      </c>
      <c r="H313">
        <v>2.61</v>
      </c>
      <c r="I313">
        <v>1</v>
      </c>
      <c r="J313">
        <v>2005</v>
      </c>
      <c r="K313" t="s">
        <v>32</v>
      </c>
      <c r="L313" t="s">
        <v>15</v>
      </c>
      <c r="M313" t="str">
        <f t="shared" si="4"/>
        <v>No</v>
      </c>
    </row>
    <row r="314" spans="1:13" x14ac:dyDescent="0.3">
      <c r="A314" t="s">
        <v>340</v>
      </c>
      <c r="B314" t="s">
        <v>25</v>
      </c>
      <c r="C314">
        <v>2</v>
      </c>
      <c r="D314">
        <v>260.48</v>
      </c>
      <c r="E314">
        <v>1314.9</v>
      </c>
      <c r="F314">
        <v>21.92</v>
      </c>
      <c r="G314">
        <v>3328</v>
      </c>
      <c r="H314">
        <v>9.8800000000000008</v>
      </c>
      <c r="I314">
        <v>1</v>
      </c>
      <c r="J314">
        <v>2014</v>
      </c>
      <c r="K314" t="s">
        <v>18</v>
      </c>
      <c r="L314" t="s">
        <v>23</v>
      </c>
      <c r="M314" t="str">
        <f t="shared" si="4"/>
        <v>Yes</v>
      </c>
    </row>
    <row r="315" spans="1:13" x14ac:dyDescent="0.3">
      <c r="A315" t="s">
        <v>341</v>
      </c>
      <c r="B315" t="s">
        <v>75</v>
      </c>
      <c r="C315">
        <v>4</v>
      </c>
      <c r="D315">
        <v>288.99</v>
      </c>
      <c r="E315">
        <v>1125.78</v>
      </c>
      <c r="F315">
        <v>12.11</v>
      </c>
      <c r="G315">
        <v>239</v>
      </c>
      <c r="H315">
        <v>2.99</v>
      </c>
      <c r="I315">
        <v>1</v>
      </c>
      <c r="J315">
        <v>2021</v>
      </c>
      <c r="K315" t="s">
        <v>28</v>
      </c>
      <c r="L315" t="s">
        <v>15</v>
      </c>
      <c r="M315" t="str">
        <f t="shared" si="4"/>
        <v>Yes</v>
      </c>
    </row>
    <row r="316" spans="1:13" x14ac:dyDescent="0.3">
      <c r="A316" t="s">
        <v>342</v>
      </c>
      <c r="B316" t="s">
        <v>75</v>
      </c>
      <c r="C316">
        <v>5</v>
      </c>
      <c r="D316">
        <v>9.8800000000000008</v>
      </c>
      <c r="E316">
        <v>122.44</v>
      </c>
      <c r="F316">
        <v>6.93</v>
      </c>
      <c r="G316">
        <v>1553</v>
      </c>
      <c r="H316">
        <v>7.73</v>
      </c>
      <c r="I316">
        <v>1</v>
      </c>
      <c r="J316">
        <v>2022</v>
      </c>
      <c r="K316" t="s">
        <v>28</v>
      </c>
      <c r="L316" t="s">
        <v>15</v>
      </c>
      <c r="M316" t="str">
        <f t="shared" si="4"/>
        <v>Yes</v>
      </c>
    </row>
    <row r="317" spans="1:13" x14ac:dyDescent="0.3">
      <c r="A317" t="s">
        <v>343</v>
      </c>
      <c r="B317" t="s">
        <v>17</v>
      </c>
      <c r="C317">
        <v>1</v>
      </c>
      <c r="D317">
        <v>219.52</v>
      </c>
      <c r="E317">
        <v>1357.65</v>
      </c>
      <c r="F317">
        <v>26.41</v>
      </c>
      <c r="G317">
        <v>2101</v>
      </c>
      <c r="H317">
        <v>4.33</v>
      </c>
      <c r="I317">
        <v>1</v>
      </c>
      <c r="J317">
        <v>2009</v>
      </c>
      <c r="K317" t="s">
        <v>18</v>
      </c>
      <c r="L317" t="s">
        <v>15</v>
      </c>
      <c r="M317" t="str">
        <f t="shared" si="4"/>
        <v>No</v>
      </c>
    </row>
    <row r="318" spans="1:13" x14ac:dyDescent="0.3">
      <c r="A318" t="s">
        <v>344</v>
      </c>
      <c r="B318" t="s">
        <v>25</v>
      </c>
      <c r="C318">
        <v>4</v>
      </c>
      <c r="D318">
        <v>272.89999999999998</v>
      </c>
      <c r="E318">
        <v>1400.85</v>
      </c>
      <c r="F318">
        <v>4.71</v>
      </c>
      <c r="G318">
        <v>4218</v>
      </c>
      <c r="H318">
        <v>2.14</v>
      </c>
      <c r="I318">
        <v>0</v>
      </c>
      <c r="J318">
        <v>2007</v>
      </c>
      <c r="K318" t="s">
        <v>14</v>
      </c>
      <c r="L318" t="s">
        <v>15</v>
      </c>
      <c r="M318" t="str">
        <f t="shared" si="4"/>
        <v>No</v>
      </c>
    </row>
    <row r="319" spans="1:13" x14ac:dyDescent="0.3">
      <c r="A319" t="s">
        <v>345</v>
      </c>
      <c r="B319" t="s">
        <v>30</v>
      </c>
      <c r="C319">
        <v>3</v>
      </c>
      <c r="D319">
        <v>257.27999999999997</v>
      </c>
      <c r="E319">
        <v>2907.11</v>
      </c>
      <c r="F319">
        <v>56.76</v>
      </c>
      <c r="G319">
        <v>2106</v>
      </c>
      <c r="H319">
        <v>8.02</v>
      </c>
      <c r="I319">
        <v>0</v>
      </c>
      <c r="J319">
        <v>1992</v>
      </c>
      <c r="K319" t="s">
        <v>14</v>
      </c>
      <c r="L319" t="s">
        <v>23</v>
      </c>
      <c r="M319" t="str">
        <f t="shared" si="4"/>
        <v>No</v>
      </c>
    </row>
    <row r="320" spans="1:13" x14ac:dyDescent="0.3">
      <c r="A320" t="s">
        <v>346</v>
      </c>
      <c r="B320" t="s">
        <v>75</v>
      </c>
      <c r="C320">
        <v>4</v>
      </c>
      <c r="D320">
        <v>289.37</v>
      </c>
      <c r="E320">
        <v>3014.26</v>
      </c>
      <c r="F320">
        <v>28.45</v>
      </c>
      <c r="G320">
        <v>1678</v>
      </c>
      <c r="H320">
        <v>3.4</v>
      </c>
      <c r="I320">
        <v>1</v>
      </c>
      <c r="J320">
        <v>2012</v>
      </c>
      <c r="K320" t="s">
        <v>28</v>
      </c>
      <c r="L320" t="s">
        <v>15</v>
      </c>
      <c r="M320" t="str">
        <f t="shared" si="4"/>
        <v>Yes</v>
      </c>
    </row>
    <row r="321" spans="1:13" x14ac:dyDescent="0.3">
      <c r="A321" t="s">
        <v>347</v>
      </c>
      <c r="B321" t="s">
        <v>25</v>
      </c>
      <c r="C321">
        <v>5</v>
      </c>
      <c r="D321">
        <v>228.15</v>
      </c>
      <c r="E321">
        <v>2418</v>
      </c>
      <c r="F321">
        <v>82.47</v>
      </c>
      <c r="G321">
        <v>2105</v>
      </c>
      <c r="H321">
        <v>8.67</v>
      </c>
      <c r="I321">
        <v>1</v>
      </c>
      <c r="J321">
        <v>2021</v>
      </c>
      <c r="K321" t="s">
        <v>28</v>
      </c>
      <c r="L321" t="s">
        <v>15</v>
      </c>
      <c r="M321" t="str">
        <f t="shared" si="4"/>
        <v>Yes</v>
      </c>
    </row>
    <row r="322" spans="1:13" x14ac:dyDescent="0.3">
      <c r="A322" t="s">
        <v>348</v>
      </c>
      <c r="B322" t="s">
        <v>13</v>
      </c>
      <c r="C322">
        <v>1</v>
      </c>
      <c r="D322">
        <v>132.97</v>
      </c>
      <c r="E322">
        <v>764.14</v>
      </c>
      <c r="F322">
        <v>7.52</v>
      </c>
      <c r="G322">
        <v>3662</v>
      </c>
      <c r="H322">
        <v>9.16</v>
      </c>
      <c r="I322">
        <v>1</v>
      </c>
      <c r="J322">
        <v>2005</v>
      </c>
      <c r="K322" t="s">
        <v>18</v>
      </c>
      <c r="L322" t="s">
        <v>15</v>
      </c>
      <c r="M322" t="str">
        <f t="shared" si="4"/>
        <v>No</v>
      </c>
    </row>
    <row r="323" spans="1:13" x14ac:dyDescent="0.3">
      <c r="A323" t="s">
        <v>349</v>
      </c>
      <c r="B323" t="s">
        <v>75</v>
      </c>
      <c r="C323">
        <v>1</v>
      </c>
      <c r="D323">
        <v>93.93</v>
      </c>
      <c r="E323">
        <v>544.02</v>
      </c>
      <c r="F323">
        <v>22.71</v>
      </c>
      <c r="G323">
        <v>4658</v>
      </c>
      <c r="H323">
        <v>8.61</v>
      </c>
      <c r="I323">
        <v>1</v>
      </c>
      <c r="J323">
        <v>1994</v>
      </c>
      <c r="K323" t="s">
        <v>14</v>
      </c>
      <c r="L323" t="s">
        <v>15</v>
      </c>
      <c r="M323" t="str">
        <f t="shared" ref="M323:M386" si="5">IF(J323&gt;2010,"Yes","No")</f>
        <v>No</v>
      </c>
    </row>
    <row r="324" spans="1:13" x14ac:dyDescent="0.3">
      <c r="A324" t="s">
        <v>350</v>
      </c>
      <c r="B324" t="s">
        <v>39</v>
      </c>
      <c r="C324">
        <v>5</v>
      </c>
      <c r="D324">
        <v>96.56</v>
      </c>
      <c r="E324">
        <v>545.53</v>
      </c>
      <c r="F324">
        <v>73.05</v>
      </c>
      <c r="G324">
        <v>3601</v>
      </c>
      <c r="H324">
        <v>0.45</v>
      </c>
      <c r="I324">
        <v>0</v>
      </c>
      <c r="J324">
        <v>1993</v>
      </c>
      <c r="K324" t="s">
        <v>28</v>
      </c>
      <c r="L324" t="s">
        <v>15</v>
      </c>
      <c r="M324" t="str">
        <f t="shared" si="5"/>
        <v>No</v>
      </c>
    </row>
    <row r="325" spans="1:13" x14ac:dyDescent="0.3">
      <c r="A325" t="s">
        <v>351</v>
      </c>
      <c r="B325" t="s">
        <v>13</v>
      </c>
      <c r="C325">
        <v>5</v>
      </c>
      <c r="D325">
        <v>217.46</v>
      </c>
      <c r="E325">
        <v>1105.79</v>
      </c>
      <c r="F325">
        <v>59.92</v>
      </c>
      <c r="G325">
        <v>3753</v>
      </c>
      <c r="H325">
        <v>7.89</v>
      </c>
      <c r="I325">
        <v>1</v>
      </c>
      <c r="J325">
        <v>2010</v>
      </c>
      <c r="K325" t="s">
        <v>14</v>
      </c>
      <c r="L325" t="s">
        <v>15</v>
      </c>
      <c r="M325" t="str">
        <f t="shared" si="5"/>
        <v>No</v>
      </c>
    </row>
    <row r="326" spans="1:13" x14ac:dyDescent="0.3">
      <c r="A326" t="s">
        <v>352</v>
      </c>
      <c r="B326" t="s">
        <v>21</v>
      </c>
      <c r="C326">
        <v>3</v>
      </c>
      <c r="D326">
        <v>223.88</v>
      </c>
      <c r="E326">
        <v>2433.2800000000002</v>
      </c>
      <c r="F326">
        <v>6.54</v>
      </c>
      <c r="G326">
        <v>3178</v>
      </c>
      <c r="H326">
        <v>4.17</v>
      </c>
      <c r="I326">
        <v>1</v>
      </c>
      <c r="J326">
        <v>2003</v>
      </c>
      <c r="K326" t="s">
        <v>28</v>
      </c>
      <c r="L326" t="s">
        <v>15</v>
      </c>
      <c r="M326" t="str">
        <f t="shared" si="5"/>
        <v>No</v>
      </c>
    </row>
    <row r="327" spans="1:13" x14ac:dyDescent="0.3">
      <c r="A327" t="s">
        <v>353</v>
      </c>
      <c r="B327" t="s">
        <v>75</v>
      </c>
      <c r="C327">
        <v>1</v>
      </c>
      <c r="D327">
        <v>60.51</v>
      </c>
      <c r="E327">
        <v>797.29</v>
      </c>
      <c r="F327">
        <v>87.74</v>
      </c>
      <c r="G327">
        <v>1820</v>
      </c>
      <c r="H327">
        <v>8.75</v>
      </c>
      <c r="I327">
        <v>0</v>
      </c>
      <c r="J327">
        <v>2020</v>
      </c>
      <c r="K327" t="s">
        <v>32</v>
      </c>
      <c r="L327" t="s">
        <v>23</v>
      </c>
      <c r="M327" t="str">
        <f t="shared" si="5"/>
        <v>Yes</v>
      </c>
    </row>
    <row r="328" spans="1:13" x14ac:dyDescent="0.3">
      <c r="A328" t="s">
        <v>354</v>
      </c>
      <c r="B328" t="s">
        <v>30</v>
      </c>
      <c r="C328">
        <v>4</v>
      </c>
      <c r="D328">
        <v>260.5</v>
      </c>
      <c r="E328">
        <v>3045.72</v>
      </c>
      <c r="F328">
        <v>87.74</v>
      </c>
      <c r="G328">
        <v>3846</v>
      </c>
      <c r="H328">
        <v>6.42</v>
      </c>
      <c r="I328">
        <v>1</v>
      </c>
      <c r="J328">
        <v>2003</v>
      </c>
      <c r="K328" t="s">
        <v>41</v>
      </c>
      <c r="L328" t="s">
        <v>15</v>
      </c>
      <c r="M328" t="str">
        <f t="shared" si="5"/>
        <v>No</v>
      </c>
    </row>
    <row r="329" spans="1:13" x14ac:dyDescent="0.3">
      <c r="A329" t="s">
        <v>355</v>
      </c>
      <c r="B329" t="s">
        <v>34</v>
      </c>
      <c r="C329">
        <v>2</v>
      </c>
      <c r="D329">
        <v>214.62</v>
      </c>
      <c r="E329">
        <v>2683.85</v>
      </c>
      <c r="F329">
        <v>33.11</v>
      </c>
      <c r="G329">
        <v>2010</v>
      </c>
      <c r="H329">
        <v>8.35</v>
      </c>
      <c r="I329">
        <v>0</v>
      </c>
      <c r="J329">
        <v>1995</v>
      </c>
      <c r="K329" t="s">
        <v>32</v>
      </c>
      <c r="L329" t="s">
        <v>15</v>
      </c>
      <c r="M329" t="str">
        <f t="shared" si="5"/>
        <v>No</v>
      </c>
    </row>
    <row r="330" spans="1:13" x14ac:dyDescent="0.3">
      <c r="A330" t="s">
        <v>356</v>
      </c>
      <c r="B330" t="s">
        <v>13</v>
      </c>
      <c r="C330">
        <v>2</v>
      </c>
      <c r="D330">
        <v>169.04</v>
      </c>
      <c r="E330">
        <v>1328.25</v>
      </c>
      <c r="F330">
        <v>34.11</v>
      </c>
      <c r="G330">
        <v>4498</v>
      </c>
      <c r="H330">
        <v>5.04</v>
      </c>
      <c r="I330">
        <v>1</v>
      </c>
      <c r="J330">
        <v>2001</v>
      </c>
      <c r="K330" t="s">
        <v>28</v>
      </c>
      <c r="L330" t="s">
        <v>15</v>
      </c>
      <c r="M330" t="str">
        <f t="shared" si="5"/>
        <v>No</v>
      </c>
    </row>
    <row r="331" spans="1:13" x14ac:dyDescent="0.3">
      <c r="A331" t="s">
        <v>357</v>
      </c>
      <c r="B331" t="s">
        <v>21</v>
      </c>
      <c r="C331">
        <v>5</v>
      </c>
      <c r="D331">
        <v>141.72</v>
      </c>
      <c r="E331">
        <v>1537.51</v>
      </c>
      <c r="F331">
        <v>98.9</v>
      </c>
      <c r="G331">
        <v>679</v>
      </c>
      <c r="H331">
        <v>5.4</v>
      </c>
      <c r="I331">
        <v>1</v>
      </c>
      <c r="J331">
        <v>2005</v>
      </c>
      <c r="K331" t="s">
        <v>41</v>
      </c>
      <c r="L331" t="s">
        <v>15</v>
      </c>
      <c r="M331" t="str">
        <f t="shared" si="5"/>
        <v>No</v>
      </c>
    </row>
    <row r="332" spans="1:13" x14ac:dyDescent="0.3">
      <c r="A332" t="s">
        <v>358</v>
      </c>
      <c r="B332" t="s">
        <v>17</v>
      </c>
      <c r="C332">
        <v>3</v>
      </c>
      <c r="D332">
        <v>163.19999999999999</v>
      </c>
      <c r="E332">
        <v>1183.3399999999999</v>
      </c>
      <c r="F332">
        <v>62.65</v>
      </c>
      <c r="G332">
        <v>391</v>
      </c>
      <c r="H332">
        <v>1.53</v>
      </c>
      <c r="I332">
        <v>0</v>
      </c>
      <c r="J332">
        <v>2006</v>
      </c>
      <c r="K332" t="s">
        <v>41</v>
      </c>
      <c r="L332" t="s">
        <v>15</v>
      </c>
      <c r="M332" t="str">
        <f t="shared" si="5"/>
        <v>No</v>
      </c>
    </row>
    <row r="333" spans="1:13" x14ac:dyDescent="0.3">
      <c r="A333" t="s">
        <v>359</v>
      </c>
      <c r="B333" t="s">
        <v>17</v>
      </c>
      <c r="C333">
        <v>2</v>
      </c>
      <c r="D333">
        <v>48.19</v>
      </c>
      <c r="E333">
        <v>448.46</v>
      </c>
      <c r="F333">
        <v>53.18</v>
      </c>
      <c r="G333">
        <v>2163</v>
      </c>
      <c r="H333">
        <v>7.86</v>
      </c>
      <c r="I333">
        <v>1</v>
      </c>
      <c r="J333">
        <v>2012</v>
      </c>
      <c r="K333" t="s">
        <v>28</v>
      </c>
      <c r="L333" t="s">
        <v>15</v>
      </c>
      <c r="M333" t="str">
        <f t="shared" si="5"/>
        <v>Yes</v>
      </c>
    </row>
    <row r="334" spans="1:13" x14ac:dyDescent="0.3">
      <c r="A334" t="s">
        <v>360</v>
      </c>
      <c r="B334" t="s">
        <v>30</v>
      </c>
      <c r="C334">
        <v>1</v>
      </c>
      <c r="D334">
        <v>61.51</v>
      </c>
      <c r="E334">
        <v>540.03</v>
      </c>
      <c r="F334">
        <v>83.83</v>
      </c>
      <c r="G334">
        <v>2666</v>
      </c>
      <c r="H334">
        <v>4.25</v>
      </c>
      <c r="I334">
        <v>0</v>
      </c>
      <c r="J334">
        <v>2003</v>
      </c>
      <c r="K334" t="s">
        <v>28</v>
      </c>
      <c r="L334" t="s">
        <v>15</v>
      </c>
      <c r="M334" t="str">
        <f t="shared" si="5"/>
        <v>No</v>
      </c>
    </row>
    <row r="335" spans="1:13" x14ac:dyDescent="0.3">
      <c r="A335" t="s">
        <v>361</v>
      </c>
      <c r="B335" t="s">
        <v>75</v>
      </c>
      <c r="C335">
        <v>5</v>
      </c>
      <c r="D335">
        <v>27.8</v>
      </c>
      <c r="E335">
        <v>142.41</v>
      </c>
      <c r="F335">
        <v>28.6</v>
      </c>
      <c r="G335">
        <v>2069</v>
      </c>
      <c r="H335">
        <v>5.05</v>
      </c>
      <c r="I335">
        <v>1</v>
      </c>
      <c r="J335">
        <v>1996</v>
      </c>
      <c r="K335" t="s">
        <v>14</v>
      </c>
      <c r="L335" t="s">
        <v>23</v>
      </c>
      <c r="M335" t="str">
        <f t="shared" si="5"/>
        <v>No</v>
      </c>
    </row>
    <row r="336" spans="1:13" x14ac:dyDescent="0.3">
      <c r="A336" t="s">
        <v>362</v>
      </c>
      <c r="B336" t="s">
        <v>25</v>
      </c>
      <c r="C336">
        <v>4</v>
      </c>
      <c r="D336">
        <v>46.52</v>
      </c>
      <c r="E336">
        <v>355.64</v>
      </c>
      <c r="F336">
        <v>42.98</v>
      </c>
      <c r="G336">
        <v>3856</v>
      </c>
      <c r="H336">
        <v>7.87</v>
      </c>
      <c r="I336">
        <v>0</v>
      </c>
      <c r="J336">
        <v>2021</v>
      </c>
      <c r="K336" t="s">
        <v>28</v>
      </c>
      <c r="L336" t="s">
        <v>15</v>
      </c>
      <c r="M336" t="str">
        <f t="shared" si="5"/>
        <v>Yes</v>
      </c>
    </row>
    <row r="337" spans="1:13" x14ac:dyDescent="0.3">
      <c r="A337" t="s">
        <v>363</v>
      </c>
      <c r="B337" t="s">
        <v>75</v>
      </c>
      <c r="C337">
        <v>5</v>
      </c>
      <c r="D337">
        <v>136.38</v>
      </c>
      <c r="E337">
        <v>1986.49</v>
      </c>
      <c r="F337">
        <v>26.85</v>
      </c>
      <c r="G337">
        <v>3258</v>
      </c>
      <c r="H337">
        <v>6.03</v>
      </c>
      <c r="I337">
        <v>1</v>
      </c>
      <c r="J337">
        <v>2004</v>
      </c>
      <c r="K337" t="s">
        <v>18</v>
      </c>
      <c r="L337" t="s">
        <v>23</v>
      </c>
      <c r="M337" t="str">
        <f t="shared" si="5"/>
        <v>No</v>
      </c>
    </row>
    <row r="338" spans="1:13" x14ac:dyDescent="0.3">
      <c r="A338" t="s">
        <v>364</v>
      </c>
      <c r="B338" t="s">
        <v>30</v>
      </c>
      <c r="C338">
        <v>4</v>
      </c>
      <c r="D338">
        <v>159.34</v>
      </c>
      <c r="E338">
        <v>953.33</v>
      </c>
      <c r="F338">
        <v>78.94</v>
      </c>
      <c r="G338">
        <v>4984</v>
      </c>
      <c r="H338">
        <v>2.09</v>
      </c>
      <c r="I338">
        <v>0</v>
      </c>
      <c r="J338">
        <v>2006</v>
      </c>
      <c r="K338" t="s">
        <v>28</v>
      </c>
      <c r="L338" t="s">
        <v>23</v>
      </c>
      <c r="M338" t="str">
        <f t="shared" si="5"/>
        <v>No</v>
      </c>
    </row>
    <row r="339" spans="1:13" x14ac:dyDescent="0.3">
      <c r="A339" t="s">
        <v>365</v>
      </c>
      <c r="B339" t="s">
        <v>17</v>
      </c>
      <c r="C339">
        <v>5</v>
      </c>
      <c r="D339">
        <v>5.85</v>
      </c>
      <c r="E339">
        <v>26.94</v>
      </c>
      <c r="F339">
        <v>57.38</v>
      </c>
      <c r="G339">
        <v>4641</v>
      </c>
      <c r="H339">
        <v>5.94</v>
      </c>
      <c r="I339">
        <v>1</v>
      </c>
      <c r="J339">
        <v>1994</v>
      </c>
      <c r="K339" t="s">
        <v>18</v>
      </c>
      <c r="L339" t="s">
        <v>15</v>
      </c>
      <c r="M339" t="str">
        <f t="shared" si="5"/>
        <v>No</v>
      </c>
    </row>
    <row r="340" spans="1:13" x14ac:dyDescent="0.3">
      <c r="A340" t="s">
        <v>366</v>
      </c>
      <c r="B340" t="s">
        <v>75</v>
      </c>
      <c r="C340">
        <v>5</v>
      </c>
      <c r="D340">
        <v>239.14</v>
      </c>
      <c r="E340">
        <v>1918.61</v>
      </c>
      <c r="F340">
        <v>65.92</v>
      </c>
      <c r="G340">
        <v>4271</v>
      </c>
      <c r="H340">
        <v>4.1399999999999997</v>
      </c>
      <c r="I340">
        <v>0</v>
      </c>
      <c r="J340">
        <v>2016</v>
      </c>
      <c r="K340" t="s">
        <v>28</v>
      </c>
      <c r="L340" t="s">
        <v>15</v>
      </c>
      <c r="M340" t="str">
        <f t="shared" si="5"/>
        <v>Yes</v>
      </c>
    </row>
    <row r="341" spans="1:13" x14ac:dyDescent="0.3">
      <c r="A341" t="s">
        <v>367</v>
      </c>
      <c r="B341" t="s">
        <v>17</v>
      </c>
      <c r="C341">
        <v>5</v>
      </c>
      <c r="D341">
        <v>88.6</v>
      </c>
      <c r="E341">
        <v>1106.0899999999999</v>
      </c>
      <c r="F341">
        <v>25.31</v>
      </c>
      <c r="G341">
        <v>744</v>
      </c>
      <c r="H341">
        <v>4.75</v>
      </c>
      <c r="I341">
        <v>1</v>
      </c>
      <c r="J341">
        <v>2012</v>
      </c>
      <c r="K341" t="s">
        <v>14</v>
      </c>
      <c r="L341" t="s">
        <v>15</v>
      </c>
      <c r="M341" t="str">
        <f t="shared" si="5"/>
        <v>Yes</v>
      </c>
    </row>
    <row r="342" spans="1:13" x14ac:dyDescent="0.3">
      <c r="A342" t="s">
        <v>368</v>
      </c>
      <c r="B342" t="s">
        <v>13</v>
      </c>
      <c r="C342">
        <v>4</v>
      </c>
      <c r="D342">
        <v>273.58999999999997</v>
      </c>
      <c r="E342">
        <v>2732.01</v>
      </c>
      <c r="F342">
        <v>22.1</v>
      </c>
      <c r="G342">
        <v>1406</v>
      </c>
      <c r="H342">
        <v>0.38</v>
      </c>
      <c r="I342">
        <v>1</v>
      </c>
      <c r="J342">
        <v>2003</v>
      </c>
      <c r="K342" t="s">
        <v>18</v>
      </c>
      <c r="L342" t="s">
        <v>26</v>
      </c>
      <c r="M342" t="str">
        <f t="shared" si="5"/>
        <v>No</v>
      </c>
    </row>
    <row r="343" spans="1:13" x14ac:dyDescent="0.3">
      <c r="A343" t="s">
        <v>369</v>
      </c>
      <c r="B343" t="s">
        <v>21</v>
      </c>
      <c r="C343">
        <v>4</v>
      </c>
      <c r="D343">
        <v>290.27</v>
      </c>
      <c r="E343">
        <v>3242.81</v>
      </c>
      <c r="F343">
        <v>48.89</v>
      </c>
      <c r="G343">
        <v>3264</v>
      </c>
      <c r="H343">
        <v>2.1800000000000002</v>
      </c>
      <c r="I343">
        <v>1</v>
      </c>
      <c r="J343">
        <v>2004</v>
      </c>
      <c r="K343" t="s">
        <v>32</v>
      </c>
      <c r="L343" t="s">
        <v>15</v>
      </c>
      <c r="M343" t="str">
        <f t="shared" si="5"/>
        <v>No</v>
      </c>
    </row>
    <row r="344" spans="1:13" x14ac:dyDescent="0.3">
      <c r="A344" t="s">
        <v>370</v>
      </c>
      <c r="B344" t="s">
        <v>25</v>
      </c>
      <c r="C344">
        <v>5</v>
      </c>
      <c r="D344">
        <v>56.04</v>
      </c>
      <c r="E344">
        <v>295.69</v>
      </c>
      <c r="F344">
        <v>73.78</v>
      </c>
      <c r="G344">
        <v>2282</v>
      </c>
      <c r="H344">
        <v>2.88</v>
      </c>
      <c r="I344">
        <v>1</v>
      </c>
      <c r="J344">
        <v>2022</v>
      </c>
      <c r="K344" t="s">
        <v>18</v>
      </c>
      <c r="L344" t="s">
        <v>15</v>
      </c>
      <c r="M344" t="str">
        <f t="shared" si="5"/>
        <v>Yes</v>
      </c>
    </row>
    <row r="345" spans="1:13" x14ac:dyDescent="0.3">
      <c r="A345" t="s">
        <v>371</v>
      </c>
      <c r="B345" t="s">
        <v>13</v>
      </c>
      <c r="C345">
        <v>2</v>
      </c>
      <c r="D345">
        <v>138.9</v>
      </c>
      <c r="E345">
        <v>1448.36</v>
      </c>
      <c r="F345">
        <v>52.57</v>
      </c>
      <c r="G345">
        <v>3909</v>
      </c>
      <c r="H345">
        <v>7.16</v>
      </c>
      <c r="I345">
        <v>1</v>
      </c>
      <c r="J345">
        <v>2020</v>
      </c>
      <c r="K345" t="s">
        <v>14</v>
      </c>
      <c r="L345" t="s">
        <v>15</v>
      </c>
      <c r="M345" t="str">
        <f t="shared" si="5"/>
        <v>Yes</v>
      </c>
    </row>
    <row r="346" spans="1:13" x14ac:dyDescent="0.3">
      <c r="A346" t="s">
        <v>372</v>
      </c>
      <c r="B346" t="s">
        <v>17</v>
      </c>
      <c r="C346">
        <v>3</v>
      </c>
      <c r="D346">
        <v>0.87</v>
      </c>
      <c r="E346">
        <v>5.99</v>
      </c>
      <c r="F346">
        <v>3.36</v>
      </c>
      <c r="G346">
        <v>3928</v>
      </c>
      <c r="H346">
        <v>0.21</v>
      </c>
      <c r="I346">
        <v>0</v>
      </c>
      <c r="J346">
        <v>2006</v>
      </c>
      <c r="K346" t="s">
        <v>18</v>
      </c>
      <c r="L346" t="s">
        <v>15</v>
      </c>
      <c r="M346" t="str">
        <f t="shared" si="5"/>
        <v>No</v>
      </c>
    </row>
    <row r="347" spans="1:13" x14ac:dyDescent="0.3">
      <c r="A347" t="s">
        <v>373</v>
      </c>
      <c r="B347" t="s">
        <v>17</v>
      </c>
      <c r="C347">
        <v>3</v>
      </c>
      <c r="D347">
        <v>179.7</v>
      </c>
      <c r="E347">
        <v>2338.19</v>
      </c>
      <c r="F347">
        <v>86.87</v>
      </c>
      <c r="G347">
        <v>4219</v>
      </c>
      <c r="H347">
        <v>4.1500000000000004</v>
      </c>
      <c r="I347">
        <v>0</v>
      </c>
      <c r="J347">
        <v>2017</v>
      </c>
      <c r="K347" t="s">
        <v>28</v>
      </c>
      <c r="L347" t="s">
        <v>15</v>
      </c>
      <c r="M347" t="str">
        <f t="shared" si="5"/>
        <v>Yes</v>
      </c>
    </row>
    <row r="348" spans="1:13" x14ac:dyDescent="0.3">
      <c r="A348" t="s">
        <v>374</v>
      </c>
      <c r="B348" t="s">
        <v>34</v>
      </c>
      <c r="C348">
        <v>3</v>
      </c>
      <c r="D348">
        <v>182.39</v>
      </c>
      <c r="E348">
        <v>1924.5</v>
      </c>
      <c r="F348">
        <v>6.56</v>
      </c>
      <c r="G348">
        <v>3232</v>
      </c>
      <c r="H348">
        <v>9.25</v>
      </c>
      <c r="I348">
        <v>0</v>
      </c>
      <c r="J348">
        <v>2008</v>
      </c>
      <c r="K348" t="s">
        <v>28</v>
      </c>
      <c r="L348" t="s">
        <v>15</v>
      </c>
      <c r="M348" t="str">
        <f t="shared" si="5"/>
        <v>No</v>
      </c>
    </row>
    <row r="349" spans="1:13" x14ac:dyDescent="0.3">
      <c r="A349" t="s">
        <v>375</v>
      </c>
      <c r="B349" t="s">
        <v>34</v>
      </c>
      <c r="C349">
        <v>4</v>
      </c>
      <c r="D349">
        <v>74.64</v>
      </c>
      <c r="E349">
        <v>402.03</v>
      </c>
      <c r="F349">
        <v>95.59</v>
      </c>
      <c r="G349">
        <v>2836</v>
      </c>
      <c r="H349">
        <v>1.21</v>
      </c>
      <c r="I349">
        <v>1</v>
      </c>
      <c r="J349">
        <v>2012</v>
      </c>
      <c r="K349" t="s">
        <v>14</v>
      </c>
      <c r="L349" t="s">
        <v>15</v>
      </c>
      <c r="M349" t="str">
        <f t="shared" si="5"/>
        <v>Yes</v>
      </c>
    </row>
    <row r="350" spans="1:13" x14ac:dyDescent="0.3">
      <c r="A350" t="s">
        <v>376</v>
      </c>
      <c r="B350" t="s">
        <v>13</v>
      </c>
      <c r="C350">
        <v>4</v>
      </c>
      <c r="D350">
        <v>167.74</v>
      </c>
      <c r="E350">
        <v>633.29</v>
      </c>
      <c r="F350">
        <v>2.61</v>
      </c>
      <c r="G350">
        <v>3763</v>
      </c>
      <c r="H350">
        <v>5.21</v>
      </c>
      <c r="I350">
        <v>1</v>
      </c>
      <c r="J350">
        <v>2021</v>
      </c>
      <c r="K350" t="s">
        <v>41</v>
      </c>
      <c r="L350" t="s">
        <v>23</v>
      </c>
      <c r="M350" t="str">
        <f t="shared" si="5"/>
        <v>Yes</v>
      </c>
    </row>
    <row r="351" spans="1:13" x14ac:dyDescent="0.3">
      <c r="A351" t="s">
        <v>377</v>
      </c>
      <c r="B351" t="s">
        <v>39</v>
      </c>
      <c r="C351">
        <v>2</v>
      </c>
      <c r="D351">
        <v>68.05</v>
      </c>
      <c r="E351">
        <v>238.96</v>
      </c>
      <c r="F351">
        <v>69.48</v>
      </c>
      <c r="G351">
        <v>2517</v>
      </c>
      <c r="H351">
        <v>7.89</v>
      </c>
      <c r="I351">
        <v>0</v>
      </c>
      <c r="J351">
        <v>2002</v>
      </c>
      <c r="K351" t="s">
        <v>28</v>
      </c>
      <c r="L351" t="s">
        <v>15</v>
      </c>
      <c r="M351" t="str">
        <f t="shared" si="5"/>
        <v>No</v>
      </c>
    </row>
    <row r="352" spans="1:13" x14ac:dyDescent="0.3">
      <c r="A352" t="s">
        <v>378</v>
      </c>
      <c r="B352" t="s">
        <v>13</v>
      </c>
      <c r="C352">
        <v>3</v>
      </c>
      <c r="D352">
        <v>48.67</v>
      </c>
      <c r="E352">
        <v>362.93</v>
      </c>
      <c r="F352">
        <v>8.31</v>
      </c>
      <c r="G352">
        <v>2156</v>
      </c>
      <c r="H352">
        <v>9.43</v>
      </c>
      <c r="I352">
        <v>1</v>
      </c>
      <c r="J352">
        <v>2009</v>
      </c>
      <c r="K352" t="s">
        <v>32</v>
      </c>
      <c r="L352" t="s">
        <v>15</v>
      </c>
      <c r="M352" t="str">
        <f t="shared" si="5"/>
        <v>No</v>
      </c>
    </row>
    <row r="353" spans="1:13" x14ac:dyDescent="0.3">
      <c r="A353" t="s">
        <v>379</v>
      </c>
      <c r="B353" t="s">
        <v>34</v>
      </c>
      <c r="C353">
        <v>3</v>
      </c>
      <c r="D353">
        <v>195.63</v>
      </c>
      <c r="E353">
        <v>1210.99</v>
      </c>
      <c r="F353">
        <v>91.08</v>
      </c>
      <c r="G353">
        <v>3680</v>
      </c>
      <c r="H353">
        <v>7.49</v>
      </c>
      <c r="I353">
        <v>1</v>
      </c>
      <c r="J353">
        <v>1994</v>
      </c>
      <c r="K353" t="s">
        <v>14</v>
      </c>
      <c r="L353" t="s">
        <v>15</v>
      </c>
      <c r="M353" t="str">
        <f t="shared" si="5"/>
        <v>No</v>
      </c>
    </row>
    <row r="354" spans="1:13" x14ac:dyDescent="0.3">
      <c r="A354" t="s">
        <v>380</v>
      </c>
      <c r="B354" t="s">
        <v>17</v>
      </c>
      <c r="C354">
        <v>5</v>
      </c>
      <c r="D354">
        <v>98.11</v>
      </c>
      <c r="E354">
        <v>1054.98</v>
      </c>
      <c r="F354">
        <v>46.5</v>
      </c>
      <c r="G354">
        <v>2750</v>
      </c>
      <c r="H354">
        <v>7.23</v>
      </c>
      <c r="I354">
        <v>1</v>
      </c>
      <c r="J354">
        <v>1998</v>
      </c>
      <c r="K354" t="s">
        <v>18</v>
      </c>
      <c r="L354" t="s">
        <v>23</v>
      </c>
      <c r="M354" t="str">
        <f t="shared" si="5"/>
        <v>No</v>
      </c>
    </row>
    <row r="355" spans="1:13" x14ac:dyDescent="0.3">
      <c r="A355" t="s">
        <v>381</v>
      </c>
      <c r="B355" t="s">
        <v>30</v>
      </c>
      <c r="C355">
        <v>4</v>
      </c>
      <c r="D355">
        <v>177.28</v>
      </c>
      <c r="E355">
        <v>1594.1</v>
      </c>
      <c r="F355">
        <v>13.84</v>
      </c>
      <c r="G355">
        <v>3871</v>
      </c>
      <c r="H355">
        <v>8.2799999999999994</v>
      </c>
      <c r="I355">
        <v>0</v>
      </c>
      <c r="J355">
        <v>2018</v>
      </c>
      <c r="K355" t="s">
        <v>18</v>
      </c>
      <c r="L355" t="s">
        <v>15</v>
      </c>
      <c r="M355" t="str">
        <f t="shared" si="5"/>
        <v>Yes</v>
      </c>
    </row>
    <row r="356" spans="1:13" x14ac:dyDescent="0.3">
      <c r="A356" t="s">
        <v>382</v>
      </c>
      <c r="B356" t="s">
        <v>13</v>
      </c>
      <c r="C356">
        <v>3</v>
      </c>
      <c r="D356">
        <v>130.26</v>
      </c>
      <c r="E356">
        <v>806.6</v>
      </c>
      <c r="F356">
        <v>34.15</v>
      </c>
      <c r="G356">
        <v>3769</v>
      </c>
      <c r="H356">
        <v>4.5199999999999996</v>
      </c>
      <c r="I356">
        <v>0</v>
      </c>
      <c r="J356">
        <v>1995</v>
      </c>
      <c r="K356" t="s">
        <v>32</v>
      </c>
      <c r="L356" t="s">
        <v>15</v>
      </c>
      <c r="M356" t="str">
        <f t="shared" si="5"/>
        <v>No</v>
      </c>
    </row>
    <row r="357" spans="1:13" x14ac:dyDescent="0.3">
      <c r="A357" t="s">
        <v>383</v>
      </c>
      <c r="B357" t="s">
        <v>17</v>
      </c>
      <c r="C357">
        <v>2</v>
      </c>
      <c r="D357">
        <v>295.31</v>
      </c>
      <c r="E357">
        <v>1414.79</v>
      </c>
      <c r="F357">
        <v>16.57</v>
      </c>
      <c r="G357">
        <v>2227</v>
      </c>
      <c r="H357">
        <v>8.08</v>
      </c>
      <c r="I357">
        <v>0</v>
      </c>
      <c r="J357">
        <v>2014</v>
      </c>
      <c r="K357" t="s">
        <v>28</v>
      </c>
      <c r="L357" t="s">
        <v>15</v>
      </c>
      <c r="M357" t="str">
        <f t="shared" si="5"/>
        <v>Yes</v>
      </c>
    </row>
    <row r="358" spans="1:13" x14ac:dyDescent="0.3">
      <c r="A358" t="s">
        <v>384</v>
      </c>
      <c r="B358" t="s">
        <v>30</v>
      </c>
      <c r="C358">
        <v>2</v>
      </c>
      <c r="D358">
        <v>45.3</v>
      </c>
      <c r="E358">
        <v>205.05</v>
      </c>
      <c r="F358">
        <v>17.14</v>
      </c>
      <c r="G358">
        <v>2797</v>
      </c>
      <c r="H358">
        <v>0.18</v>
      </c>
      <c r="I358">
        <v>1</v>
      </c>
      <c r="J358">
        <v>2020</v>
      </c>
      <c r="K358" t="s">
        <v>14</v>
      </c>
      <c r="L358" t="s">
        <v>23</v>
      </c>
      <c r="M358" t="str">
        <f t="shared" si="5"/>
        <v>Yes</v>
      </c>
    </row>
    <row r="359" spans="1:13" x14ac:dyDescent="0.3">
      <c r="A359" t="s">
        <v>385</v>
      </c>
      <c r="B359" t="s">
        <v>30</v>
      </c>
      <c r="C359">
        <v>3</v>
      </c>
      <c r="D359">
        <v>139.65</v>
      </c>
      <c r="E359">
        <v>1867.95</v>
      </c>
      <c r="F359">
        <v>94.82</v>
      </c>
      <c r="G359">
        <v>1702</v>
      </c>
      <c r="H359">
        <v>9.25</v>
      </c>
      <c r="I359">
        <v>0</v>
      </c>
      <c r="J359">
        <v>2011</v>
      </c>
      <c r="K359" t="s">
        <v>32</v>
      </c>
      <c r="L359" t="s">
        <v>15</v>
      </c>
      <c r="M359" t="str">
        <f t="shared" si="5"/>
        <v>Yes</v>
      </c>
    </row>
    <row r="360" spans="1:13" x14ac:dyDescent="0.3">
      <c r="A360" t="s">
        <v>386</v>
      </c>
      <c r="B360" t="s">
        <v>34</v>
      </c>
      <c r="C360">
        <v>4</v>
      </c>
      <c r="D360">
        <v>204.3</v>
      </c>
      <c r="E360">
        <v>1209.81</v>
      </c>
      <c r="F360">
        <v>44.58</v>
      </c>
      <c r="G360">
        <v>3467</v>
      </c>
      <c r="H360">
        <v>4.49</v>
      </c>
      <c r="I360">
        <v>0</v>
      </c>
      <c r="J360">
        <v>1991</v>
      </c>
      <c r="K360" t="s">
        <v>28</v>
      </c>
      <c r="L360" t="s">
        <v>15</v>
      </c>
      <c r="M360" t="str">
        <f t="shared" si="5"/>
        <v>No</v>
      </c>
    </row>
    <row r="361" spans="1:13" x14ac:dyDescent="0.3">
      <c r="A361" t="s">
        <v>387</v>
      </c>
      <c r="B361" t="s">
        <v>13</v>
      </c>
      <c r="C361">
        <v>2</v>
      </c>
      <c r="D361">
        <v>118.97</v>
      </c>
      <c r="E361">
        <v>1287.32</v>
      </c>
      <c r="F361">
        <v>78.900000000000006</v>
      </c>
      <c r="G361">
        <v>4068</v>
      </c>
      <c r="H361">
        <v>5.58</v>
      </c>
      <c r="I361">
        <v>1</v>
      </c>
      <c r="J361">
        <v>1994</v>
      </c>
      <c r="K361" t="s">
        <v>14</v>
      </c>
      <c r="L361" t="s">
        <v>15</v>
      </c>
      <c r="M361" t="str">
        <f t="shared" si="5"/>
        <v>No</v>
      </c>
    </row>
    <row r="362" spans="1:13" x14ac:dyDescent="0.3">
      <c r="A362" t="s">
        <v>388</v>
      </c>
      <c r="B362" t="s">
        <v>75</v>
      </c>
      <c r="C362">
        <v>5</v>
      </c>
      <c r="D362">
        <v>292.42</v>
      </c>
      <c r="E362">
        <v>3721.99</v>
      </c>
      <c r="F362">
        <v>64</v>
      </c>
      <c r="G362">
        <v>1529</v>
      </c>
      <c r="H362">
        <v>2.62</v>
      </c>
      <c r="I362">
        <v>1</v>
      </c>
      <c r="J362">
        <v>2016</v>
      </c>
      <c r="K362" t="s">
        <v>18</v>
      </c>
      <c r="L362" t="s">
        <v>26</v>
      </c>
      <c r="M362" t="str">
        <f t="shared" si="5"/>
        <v>Yes</v>
      </c>
    </row>
    <row r="363" spans="1:13" x14ac:dyDescent="0.3">
      <c r="A363" t="s">
        <v>389</v>
      </c>
      <c r="B363" t="s">
        <v>25</v>
      </c>
      <c r="C363">
        <v>2</v>
      </c>
      <c r="D363">
        <v>216.71</v>
      </c>
      <c r="E363">
        <v>2247.06</v>
      </c>
      <c r="F363">
        <v>67.67</v>
      </c>
      <c r="G363">
        <v>4765</v>
      </c>
      <c r="H363">
        <v>7.45</v>
      </c>
      <c r="I363">
        <v>1</v>
      </c>
      <c r="J363">
        <v>2014</v>
      </c>
      <c r="K363" t="s">
        <v>14</v>
      </c>
      <c r="L363" t="s">
        <v>15</v>
      </c>
      <c r="M363" t="str">
        <f t="shared" si="5"/>
        <v>Yes</v>
      </c>
    </row>
    <row r="364" spans="1:13" x14ac:dyDescent="0.3">
      <c r="A364" t="s">
        <v>390</v>
      </c>
      <c r="B364" t="s">
        <v>34</v>
      </c>
      <c r="C364">
        <v>1</v>
      </c>
      <c r="D364">
        <v>197.27</v>
      </c>
      <c r="E364">
        <v>2626.61</v>
      </c>
      <c r="F364">
        <v>13.26</v>
      </c>
      <c r="G364">
        <v>37</v>
      </c>
      <c r="H364">
        <v>0.86</v>
      </c>
      <c r="I364">
        <v>0</v>
      </c>
      <c r="J364">
        <v>1997</v>
      </c>
      <c r="K364" t="s">
        <v>41</v>
      </c>
      <c r="L364" t="s">
        <v>15</v>
      </c>
      <c r="M364" t="str">
        <f t="shared" si="5"/>
        <v>No</v>
      </c>
    </row>
    <row r="365" spans="1:13" x14ac:dyDescent="0.3">
      <c r="A365" t="s">
        <v>391</v>
      </c>
      <c r="B365" t="s">
        <v>34</v>
      </c>
      <c r="C365">
        <v>1</v>
      </c>
      <c r="D365">
        <v>227.24</v>
      </c>
      <c r="E365">
        <v>1751.73</v>
      </c>
      <c r="F365">
        <v>23.5</v>
      </c>
      <c r="G365">
        <v>4030</v>
      </c>
      <c r="H365">
        <v>8.74</v>
      </c>
      <c r="I365">
        <v>0</v>
      </c>
      <c r="J365">
        <v>1990</v>
      </c>
      <c r="K365" t="s">
        <v>14</v>
      </c>
      <c r="L365" t="s">
        <v>23</v>
      </c>
      <c r="M365" t="str">
        <f t="shared" si="5"/>
        <v>No</v>
      </c>
    </row>
    <row r="366" spans="1:13" x14ac:dyDescent="0.3">
      <c r="A366" t="s">
        <v>392</v>
      </c>
      <c r="B366" t="s">
        <v>75</v>
      </c>
      <c r="C366">
        <v>4</v>
      </c>
      <c r="D366">
        <v>285.82</v>
      </c>
      <c r="E366">
        <v>4137.1499999999996</v>
      </c>
      <c r="F366">
        <v>78.7</v>
      </c>
      <c r="G366">
        <v>2571</v>
      </c>
      <c r="H366">
        <v>8.3000000000000007</v>
      </c>
      <c r="I366">
        <v>1</v>
      </c>
      <c r="J366">
        <v>2009</v>
      </c>
      <c r="K366" t="s">
        <v>41</v>
      </c>
      <c r="L366" t="s">
        <v>23</v>
      </c>
      <c r="M366" t="str">
        <f t="shared" si="5"/>
        <v>No</v>
      </c>
    </row>
    <row r="367" spans="1:13" x14ac:dyDescent="0.3">
      <c r="A367" t="s">
        <v>393</v>
      </c>
      <c r="B367" t="s">
        <v>25</v>
      </c>
      <c r="C367">
        <v>3</v>
      </c>
      <c r="D367">
        <v>272.39</v>
      </c>
      <c r="E367">
        <v>1252.3800000000001</v>
      </c>
      <c r="F367">
        <v>97.08</v>
      </c>
      <c r="G367">
        <v>2808</v>
      </c>
      <c r="H367">
        <v>2.2400000000000002</v>
      </c>
      <c r="I367">
        <v>0</v>
      </c>
      <c r="J367">
        <v>2012</v>
      </c>
      <c r="K367" t="s">
        <v>14</v>
      </c>
      <c r="L367" t="s">
        <v>15</v>
      </c>
      <c r="M367" t="str">
        <f t="shared" si="5"/>
        <v>Yes</v>
      </c>
    </row>
    <row r="368" spans="1:13" x14ac:dyDescent="0.3">
      <c r="A368" t="s">
        <v>394</v>
      </c>
      <c r="B368" t="s">
        <v>17</v>
      </c>
      <c r="C368">
        <v>4</v>
      </c>
      <c r="D368">
        <v>217.42</v>
      </c>
      <c r="E368">
        <v>918.77</v>
      </c>
      <c r="F368">
        <v>26.34</v>
      </c>
      <c r="G368">
        <v>3901</v>
      </c>
      <c r="H368">
        <v>8.11</v>
      </c>
      <c r="I368">
        <v>0</v>
      </c>
      <c r="J368">
        <v>2021</v>
      </c>
      <c r="K368" t="s">
        <v>41</v>
      </c>
      <c r="L368" t="s">
        <v>26</v>
      </c>
      <c r="M368" t="str">
        <f t="shared" si="5"/>
        <v>Yes</v>
      </c>
    </row>
    <row r="369" spans="1:13" x14ac:dyDescent="0.3">
      <c r="A369" t="s">
        <v>395</v>
      </c>
      <c r="B369" t="s">
        <v>39</v>
      </c>
      <c r="C369">
        <v>4</v>
      </c>
      <c r="D369">
        <v>224.87</v>
      </c>
      <c r="E369">
        <v>2452.0500000000002</v>
      </c>
      <c r="F369">
        <v>27.23</v>
      </c>
      <c r="G369">
        <v>3714</v>
      </c>
      <c r="H369">
        <v>7.88</v>
      </c>
      <c r="I369">
        <v>0</v>
      </c>
      <c r="J369">
        <v>2000</v>
      </c>
      <c r="K369" t="s">
        <v>18</v>
      </c>
      <c r="L369" t="s">
        <v>23</v>
      </c>
      <c r="M369" t="str">
        <f t="shared" si="5"/>
        <v>No</v>
      </c>
    </row>
    <row r="370" spans="1:13" x14ac:dyDescent="0.3">
      <c r="A370" t="s">
        <v>396</v>
      </c>
      <c r="B370" t="s">
        <v>13</v>
      </c>
      <c r="C370">
        <v>4</v>
      </c>
      <c r="D370">
        <v>44.2</v>
      </c>
      <c r="E370">
        <v>632.67999999999995</v>
      </c>
      <c r="F370">
        <v>47.34</v>
      </c>
      <c r="G370">
        <v>724</v>
      </c>
      <c r="H370">
        <v>6.36</v>
      </c>
      <c r="I370">
        <v>0</v>
      </c>
      <c r="J370">
        <v>2013</v>
      </c>
      <c r="K370" t="s">
        <v>28</v>
      </c>
      <c r="L370" t="s">
        <v>15</v>
      </c>
      <c r="M370" t="str">
        <f t="shared" si="5"/>
        <v>Yes</v>
      </c>
    </row>
    <row r="371" spans="1:13" x14ac:dyDescent="0.3">
      <c r="A371" t="s">
        <v>397</v>
      </c>
      <c r="B371" t="s">
        <v>39</v>
      </c>
      <c r="C371">
        <v>4</v>
      </c>
      <c r="D371">
        <v>31.29</v>
      </c>
      <c r="E371">
        <v>397.59</v>
      </c>
      <c r="F371">
        <v>98.39</v>
      </c>
      <c r="G371">
        <v>4584</v>
      </c>
      <c r="H371">
        <v>3.8</v>
      </c>
      <c r="I371">
        <v>0</v>
      </c>
      <c r="J371">
        <v>2000</v>
      </c>
      <c r="K371" t="s">
        <v>41</v>
      </c>
      <c r="L371" t="s">
        <v>15</v>
      </c>
      <c r="M371" t="str">
        <f t="shared" si="5"/>
        <v>No</v>
      </c>
    </row>
    <row r="372" spans="1:13" x14ac:dyDescent="0.3">
      <c r="A372" t="s">
        <v>398</v>
      </c>
      <c r="B372" t="s">
        <v>17</v>
      </c>
      <c r="C372">
        <v>5</v>
      </c>
      <c r="D372">
        <v>171.49</v>
      </c>
      <c r="E372">
        <v>671.73</v>
      </c>
      <c r="F372">
        <v>26.97</v>
      </c>
      <c r="G372">
        <v>977</v>
      </c>
      <c r="H372">
        <v>2.79</v>
      </c>
      <c r="I372">
        <v>0</v>
      </c>
      <c r="J372">
        <v>2018</v>
      </c>
      <c r="K372" t="s">
        <v>41</v>
      </c>
      <c r="L372" t="s">
        <v>23</v>
      </c>
      <c r="M372" t="str">
        <f t="shared" si="5"/>
        <v>Yes</v>
      </c>
    </row>
    <row r="373" spans="1:13" x14ac:dyDescent="0.3">
      <c r="A373" t="s">
        <v>399</v>
      </c>
      <c r="B373" t="s">
        <v>21</v>
      </c>
      <c r="C373">
        <v>5</v>
      </c>
      <c r="D373">
        <v>6</v>
      </c>
      <c r="E373">
        <v>38.11</v>
      </c>
      <c r="F373">
        <v>40.76</v>
      </c>
      <c r="G373">
        <v>3723</v>
      </c>
      <c r="H373">
        <v>2.39</v>
      </c>
      <c r="I373">
        <v>0</v>
      </c>
      <c r="J373">
        <v>2015</v>
      </c>
      <c r="K373" t="s">
        <v>18</v>
      </c>
      <c r="L373" t="s">
        <v>15</v>
      </c>
      <c r="M373" t="str">
        <f t="shared" si="5"/>
        <v>Yes</v>
      </c>
    </row>
    <row r="374" spans="1:13" x14ac:dyDescent="0.3">
      <c r="A374" t="s">
        <v>400</v>
      </c>
      <c r="B374" t="s">
        <v>34</v>
      </c>
      <c r="C374">
        <v>2</v>
      </c>
      <c r="D374">
        <v>144.97</v>
      </c>
      <c r="E374">
        <v>2053.33</v>
      </c>
      <c r="F374">
        <v>89.16</v>
      </c>
      <c r="G374">
        <v>4407</v>
      </c>
      <c r="H374">
        <v>3.25</v>
      </c>
      <c r="I374">
        <v>0</v>
      </c>
      <c r="J374">
        <v>2005</v>
      </c>
      <c r="K374" t="s">
        <v>41</v>
      </c>
      <c r="L374" t="s">
        <v>23</v>
      </c>
      <c r="M374" t="str">
        <f t="shared" si="5"/>
        <v>No</v>
      </c>
    </row>
    <row r="375" spans="1:13" x14ac:dyDescent="0.3">
      <c r="A375" t="s">
        <v>401</v>
      </c>
      <c r="B375" t="s">
        <v>25</v>
      </c>
      <c r="C375">
        <v>1</v>
      </c>
      <c r="D375">
        <v>63.5</v>
      </c>
      <c r="E375">
        <v>383.33</v>
      </c>
      <c r="F375">
        <v>0.39</v>
      </c>
      <c r="G375">
        <v>4557</v>
      </c>
      <c r="H375">
        <v>9.0500000000000007</v>
      </c>
      <c r="I375">
        <v>1</v>
      </c>
      <c r="J375">
        <v>2009</v>
      </c>
      <c r="K375" t="s">
        <v>32</v>
      </c>
      <c r="L375" t="s">
        <v>23</v>
      </c>
      <c r="M375" t="str">
        <f t="shared" si="5"/>
        <v>No</v>
      </c>
    </row>
    <row r="376" spans="1:13" x14ac:dyDescent="0.3">
      <c r="A376" t="s">
        <v>402</v>
      </c>
      <c r="B376" t="s">
        <v>34</v>
      </c>
      <c r="C376">
        <v>4</v>
      </c>
      <c r="D376">
        <v>104.13</v>
      </c>
      <c r="E376">
        <v>1288.51</v>
      </c>
      <c r="F376">
        <v>4.07</v>
      </c>
      <c r="G376">
        <v>2212</v>
      </c>
      <c r="H376">
        <v>0.87</v>
      </c>
      <c r="I376">
        <v>0</v>
      </c>
      <c r="J376">
        <v>1992</v>
      </c>
      <c r="K376" t="s">
        <v>18</v>
      </c>
      <c r="L376" t="s">
        <v>23</v>
      </c>
      <c r="M376" t="str">
        <f t="shared" si="5"/>
        <v>No</v>
      </c>
    </row>
    <row r="377" spans="1:13" x14ac:dyDescent="0.3">
      <c r="A377" t="s">
        <v>403</v>
      </c>
      <c r="B377" t="s">
        <v>30</v>
      </c>
      <c r="C377">
        <v>2</v>
      </c>
      <c r="D377">
        <v>232.85</v>
      </c>
      <c r="E377">
        <v>3004.13</v>
      </c>
      <c r="F377">
        <v>60.45</v>
      </c>
      <c r="G377">
        <v>4431</v>
      </c>
      <c r="H377">
        <v>8.31</v>
      </c>
      <c r="I377">
        <v>1</v>
      </c>
      <c r="J377">
        <v>1990</v>
      </c>
      <c r="K377" t="s">
        <v>32</v>
      </c>
      <c r="L377" t="s">
        <v>15</v>
      </c>
      <c r="M377" t="str">
        <f t="shared" si="5"/>
        <v>No</v>
      </c>
    </row>
    <row r="378" spans="1:13" x14ac:dyDescent="0.3">
      <c r="A378" t="s">
        <v>404</v>
      </c>
      <c r="B378" t="s">
        <v>34</v>
      </c>
      <c r="C378">
        <v>1</v>
      </c>
      <c r="D378">
        <v>282.39999999999998</v>
      </c>
      <c r="E378">
        <v>2526.19</v>
      </c>
      <c r="F378">
        <v>90.75</v>
      </c>
      <c r="G378">
        <v>4325</v>
      </c>
      <c r="H378">
        <v>3.55</v>
      </c>
      <c r="I378">
        <v>0</v>
      </c>
      <c r="J378">
        <v>1990</v>
      </c>
      <c r="K378" t="s">
        <v>18</v>
      </c>
      <c r="L378" t="s">
        <v>23</v>
      </c>
      <c r="M378" t="str">
        <f t="shared" si="5"/>
        <v>No</v>
      </c>
    </row>
    <row r="379" spans="1:13" x14ac:dyDescent="0.3">
      <c r="A379" t="s">
        <v>405</v>
      </c>
      <c r="B379" t="s">
        <v>34</v>
      </c>
      <c r="C379">
        <v>3</v>
      </c>
      <c r="D379">
        <v>22.19</v>
      </c>
      <c r="E379">
        <v>169.45</v>
      </c>
      <c r="F379">
        <v>23.96</v>
      </c>
      <c r="G379">
        <v>3035</v>
      </c>
      <c r="H379">
        <v>5.26</v>
      </c>
      <c r="I379">
        <v>0</v>
      </c>
      <c r="J379">
        <v>2006</v>
      </c>
      <c r="K379" t="s">
        <v>41</v>
      </c>
      <c r="L379" t="s">
        <v>23</v>
      </c>
      <c r="M379" t="str">
        <f t="shared" si="5"/>
        <v>No</v>
      </c>
    </row>
    <row r="380" spans="1:13" x14ac:dyDescent="0.3">
      <c r="A380" t="s">
        <v>406</v>
      </c>
      <c r="B380" t="s">
        <v>17</v>
      </c>
      <c r="C380">
        <v>5</v>
      </c>
      <c r="D380">
        <v>160.51</v>
      </c>
      <c r="E380">
        <v>1348.52</v>
      </c>
      <c r="F380">
        <v>47.02</v>
      </c>
      <c r="G380">
        <v>3580</v>
      </c>
      <c r="H380">
        <v>7.97</v>
      </c>
      <c r="I380">
        <v>1</v>
      </c>
      <c r="J380">
        <v>1991</v>
      </c>
      <c r="K380" t="s">
        <v>32</v>
      </c>
      <c r="L380" t="s">
        <v>15</v>
      </c>
      <c r="M380" t="str">
        <f t="shared" si="5"/>
        <v>No</v>
      </c>
    </row>
    <row r="381" spans="1:13" x14ac:dyDescent="0.3">
      <c r="A381" t="s">
        <v>407</v>
      </c>
      <c r="B381" t="s">
        <v>17</v>
      </c>
      <c r="C381">
        <v>1</v>
      </c>
      <c r="D381">
        <v>264.82</v>
      </c>
      <c r="E381">
        <v>1515.72</v>
      </c>
      <c r="F381">
        <v>45.1</v>
      </c>
      <c r="G381">
        <v>3121</v>
      </c>
      <c r="H381">
        <v>8.86</v>
      </c>
      <c r="I381">
        <v>0</v>
      </c>
      <c r="J381">
        <v>2018</v>
      </c>
      <c r="K381" t="s">
        <v>41</v>
      </c>
      <c r="L381" t="s">
        <v>15</v>
      </c>
      <c r="M381" t="str">
        <f t="shared" si="5"/>
        <v>Yes</v>
      </c>
    </row>
    <row r="382" spans="1:13" x14ac:dyDescent="0.3">
      <c r="A382" t="s">
        <v>408</v>
      </c>
      <c r="B382" t="s">
        <v>17</v>
      </c>
      <c r="C382">
        <v>3</v>
      </c>
      <c r="D382">
        <v>25.21</v>
      </c>
      <c r="E382">
        <v>344.69</v>
      </c>
      <c r="F382">
        <v>47.35</v>
      </c>
      <c r="G382">
        <v>3290</v>
      </c>
      <c r="H382">
        <v>3.51</v>
      </c>
      <c r="I382">
        <v>0</v>
      </c>
      <c r="J382">
        <v>2009</v>
      </c>
      <c r="K382" t="s">
        <v>18</v>
      </c>
      <c r="L382" t="s">
        <v>26</v>
      </c>
      <c r="M382" t="str">
        <f t="shared" si="5"/>
        <v>No</v>
      </c>
    </row>
    <row r="383" spans="1:13" x14ac:dyDescent="0.3">
      <c r="A383" t="s">
        <v>409</v>
      </c>
      <c r="B383" t="s">
        <v>39</v>
      </c>
      <c r="C383">
        <v>1</v>
      </c>
      <c r="D383">
        <v>247.44</v>
      </c>
      <c r="E383">
        <v>2080.34</v>
      </c>
      <c r="F383">
        <v>62.29</v>
      </c>
      <c r="G383">
        <v>648</v>
      </c>
      <c r="H383">
        <v>4.67</v>
      </c>
      <c r="I383">
        <v>0</v>
      </c>
      <c r="J383">
        <v>1995</v>
      </c>
      <c r="K383" t="s">
        <v>41</v>
      </c>
      <c r="L383" t="s">
        <v>15</v>
      </c>
      <c r="M383" t="str">
        <f t="shared" si="5"/>
        <v>No</v>
      </c>
    </row>
    <row r="384" spans="1:13" x14ac:dyDescent="0.3">
      <c r="A384" t="s">
        <v>410</v>
      </c>
      <c r="B384" t="s">
        <v>30</v>
      </c>
      <c r="C384">
        <v>5</v>
      </c>
      <c r="D384">
        <v>107.66</v>
      </c>
      <c r="E384">
        <v>1463.05</v>
      </c>
      <c r="F384">
        <v>47.03</v>
      </c>
      <c r="G384">
        <v>4716</v>
      </c>
      <c r="H384">
        <v>4.2</v>
      </c>
      <c r="I384">
        <v>1</v>
      </c>
      <c r="J384">
        <v>1997</v>
      </c>
      <c r="K384" t="s">
        <v>32</v>
      </c>
      <c r="L384" t="s">
        <v>23</v>
      </c>
      <c r="M384" t="str">
        <f t="shared" si="5"/>
        <v>No</v>
      </c>
    </row>
    <row r="385" spans="1:13" x14ac:dyDescent="0.3">
      <c r="A385" t="s">
        <v>411</v>
      </c>
      <c r="B385" t="s">
        <v>21</v>
      </c>
      <c r="C385">
        <v>5</v>
      </c>
      <c r="D385">
        <v>96.97</v>
      </c>
      <c r="E385">
        <v>413.9</v>
      </c>
      <c r="F385">
        <v>44.8</v>
      </c>
      <c r="G385">
        <v>199</v>
      </c>
      <c r="H385">
        <v>0.23</v>
      </c>
      <c r="I385">
        <v>0</v>
      </c>
      <c r="J385">
        <v>2018</v>
      </c>
      <c r="K385" t="s">
        <v>32</v>
      </c>
      <c r="L385" t="s">
        <v>15</v>
      </c>
      <c r="M385" t="str">
        <f t="shared" si="5"/>
        <v>Yes</v>
      </c>
    </row>
    <row r="386" spans="1:13" x14ac:dyDescent="0.3">
      <c r="A386" t="s">
        <v>412</v>
      </c>
      <c r="B386" t="s">
        <v>21</v>
      </c>
      <c r="C386">
        <v>2</v>
      </c>
      <c r="D386">
        <v>293.25</v>
      </c>
      <c r="E386">
        <v>4357.49</v>
      </c>
      <c r="F386">
        <v>47.48</v>
      </c>
      <c r="G386">
        <v>4001</v>
      </c>
      <c r="H386">
        <v>3.03</v>
      </c>
      <c r="I386">
        <v>0</v>
      </c>
      <c r="J386">
        <v>2022</v>
      </c>
      <c r="K386" t="s">
        <v>41</v>
      </c>
      <c r="L386" t="s">
        <v>15</v>
      </c>
      <c r="M386" t="str">
        <f t="shared" si="5"/>
        <v>Yes</v>
      </c>
    </row>
    <row r="387" spans="1:13" x14ac:dyDescent="0.3">
      <c r="A387" t="s">
        <v>413</v>
      </c>
      <c r="B387" t="s">
        <v>17</v>
      </c>
      <c r="C387">
        <v>4</v>
      </c>
      <c r="D387">
        <v>60.66</v>
      </c>
      <c r="E387">
        <v>504.65</v>
      </c>
      <c r="F387">
        <v>59.13</v>
      </c>
      <c r="G387">
        <v>493</v>
      </c>
      <c r="H387">
        <v>4.6500000000000004</v>
      </c>
      <c r="I387">
        <v>1</v>
      </c>
      <c r="J387">
        <v>1992</v>
      </c>
      <c r="K387" t="s">
        <v>14</v>
      </c>
      <c r="L387" t="s">
        <v>15</v>
      </c>
      <c r="M387" t="str">
        <f t="shared" ref="M387:M450" si="6">IF(J387&gt;2010,"Yes","No")</f>
        <v>No</v>
      </c>
    </row>
    <row r="388" spans="1:13" x14ac:dyDescent="0.3">
      <c r="A388" t="s">
        <v>414</v>
      </c>
      <c r="B388" t="s">
        <v>25</v>
      </c>
      <c r="C388">
        <v>1</v>
      </c>
      <c r="D388">
        <v>208.11</v>
      </c>
      <c r="E388">
        <v>743.78</v>
      </c>
      <c r="F388">
        <v>53.75</v>
      </c>
      <c r="G388">
        <v>2209</v>
      </c>
      <c r="H388">
        <v>4.17</v>
      </c>
      <c r="I388">
        <v>0</v>
      </c>
      <c r="J388">
        <v>1994</v>
      </c>
      <c r="K388" t="s">
        <v>18</v>
      </c>
      <c r="L388" t="s">
        <v>15</v>
      </c>
      <c r="M388" t="str">
        <f t="shared" si="6"/>
        <v>No</v>
      </c>
    </row>
    <row r="389" spans="1:13" x14ac:dyDescent="0.3">
      <c r="A389" t="s">
        <v>415</v>
      </c>
      <c r="B389" t="s">
        <v>39</v>
      </c>
      <c r="C389">
        <v>1</v>
      </c>
      <c r="D389">
        <v>246.52</v>
      </c>
      <c r="E389">
        <v>852.04</v>
      </c>
      <c r="F389">
        <v>85.43</v>
      </c>
      <c r="G389">
        <v>2662</v>
      </c>
      <c r="H389">
        <v>7.25</v>
      </c>
      <c r="I389">
        <v>0</v>
      </c>
      <c r="J389">
        <v>2016</v>
      </c>
      <c r="K389" t="s">
        <v>18</v>
      </c>
      <c r="L389" t="s">
        <v>15</v>
      </c>
      <c r="M389" t="str">
        <f t="shared" si="6"/>
        <v>Yes</v>
      </c>
    </row>
    <row r="390" spans="1:13" x14ac:dyDescent="0.3">
      <c r="A390" t="s">
        <v>416</v>
      </c>
      <c r="B390" t="s">
        <v>75</v>
      </c>
      <c r="C390">
        <v>3</v>
      </c>
      <c r="D390">
        <v>12.83</v>
      </c>
      <c r="E390">
        <v>153.38</v>
      </c>
      <c r="F390">
        <v>5.04</v>
      </c>
      <c r="G390">
        <v>3281</v>
      </c>
      <c r="H390">
        <v>3.91</v>
      </c>
      <c r="I390">
        <v>0</v>
      </c>
      <c r="J390">
        <v>2001</v>
      </c>
      <c r="K390" t="s">
        <v>41</v>
      </c>
      <c r="L390" t="s">
        <v>23</v>
      </c>
      <c r="M390" t="str">
        <f t="shared" si="6"/>
        <v>No</v>
      </c>
    </row>
    <row r="391" spans="1:13" x14ac:dyDescent="0.3">
      <c r="A391" t="s">
        <v>417</v>
      </c>
      <c r="B391" t="s">
        <v>25</v>
      </c>
      <c r="C391">
        <v>5</v>
      </c>
      <c r="D391">
        <v>201.28</v>
      </c>
      <c r="E391">
        <v>2195.65</v>
      </c>
      <c r="F391">
        <v>83.35</v>
      </c>
      <c r="G391">
        <v>1107</v>
      </c>
      <c r="H391">
        <v>4.9400000000000004</v>
      </c>
      <c r="I391">
        <v>1</v>
      </c>
      <c r="J391">
        <v>2009</v>
      </c>
      <c r="K391" t="s">
        <v>14</v>
      </c>
      <c r="L391" t="s">
        <v>15</v>
      </c>
      <c r="M391" t="str">
        <f t="shared" si="6"/>
        <v>No</v>
      </c>
    </row>
    <row r="392" spans="1:13" x14ac:dyDescent="0.3">
      <c r="A392" t="s">
        <v>418</v>
      </c>
      <c r="B392" t="s">
        <v>13</v>
      </c>
      <c r="C392">
        <v>1</v>
      </c>
      <c r="D392">
        <v>285.49</v>
      </c>
      <c r="E392">
        <v>3604.47</v>
      </c>
      <c r="F392">
        <v>84.41</v>
      </c>
      <c r="G392">
        <v>1246</v>
      </c>
      <c r="H392">
        <v>4.3499999999999996</v>
      </c>
      <c r="I392">
        <v>0</v>
      </c>
      <c r="J392">
        <v>2009</v>
      </c>
      <c r="K392" t="s">
        <v>32</v>
      </c>
      <c r="L392" t="s">
        <v>23</v>
      </c>
      <c r="M392" t="str">
        <f t="shared" si="6"/>
        <v>No</v>
      </c>
    </row>
    <row r="393" spans="1:13" x14ac:dyDescent="0.3">
      <c r="A393" t="s">
        <v>419</v>
      </c>
      <c r="B393" t="s">
        <v>13</v>
      </c>
      <c r="C393">
        <v>5</v>
      </c>
      <c r="D393">
        <v>37.700000000000003</v>
      </c>
      <c r="E393">
        <v>160.77000000000001</v>
      </c>
      <c r="F393">
        <v>28.56</v>
      </c>
      <c r="G393">
        <v>520</v>
      </c>
      <c r="H393">
        <v>7.43</v>
      </c>
      <c r="I393">
        <v>0</v>
      </c>
      <c r="J393">
        <v>1998</v>
      </c>
      <c r="K393" t="s">
        <v>28</v>
      </c>
      <c r="L393" t="s">
        <v>15</v>
      </c>
      <c r="M393" t="str">
        <f t="shared" si="6"/>
        <v>No</v>
      </c>
    </row>
    <row r="394" spans="1:13" x14ac:dyDescent="0.3">
      <c r="A394" t="s">
        <v>420</v>
      </c>
      <c r="B394" t="s">
        <v>25</v>
      </c>
      <c r="C394">
        <v>1</v>
      </c>
      <c r="D394">
        <v>268.92</v>
      </c>
      <c r="E394">
        <v>921.55</v>
      </c>
      <c r="F394">
        <v>46.34</v>
      </c>
      <c r="G394">
        <v>397</v>
      </c>
      <c r="H394">
        <v>8.64</v>
      </c>
      <c r="I394">
        <v>0</v>
      </c>
      <c r="J394">
        <v>1993</v>
      </c>
      <c r="K394" t="s">
        <v>28</v>
      </c>
      <c r="L394" t="s">
        <v>15</v>
      </c>
      <c r="M394" t="str">
        <f t="shared" si="6"/>
        <v>No</v>
      </c>
    </row>
    <row r="395" spans="1:13" x14ac:dyDescent="0.3">
      <c r="A395" t="s">
        <v>421</v>
      </c>
      <c r="B395" t="s">
        <v>17</v>
      </c>
      <c r="C395">
        <v>2</v>
      </c>
      <c r="D395">
        <v>178.64</v>
      </c>
      <c r="E395">
        <v>1626.15</v>
      </c>
      <c r="F395">
        <v>43.91</v>
      </c>
      <c r="G395">
        <v>635</v>
      </c>
      <c r="H395">
        <v>5.37</v>
      </c>
      <c r="I395">
        <v>1</v>
      </c>
      <c r="J395">
        <v>2008</v>
      </c>
      <c r="K395" t="s">
        <v>41</v>
      </c>
      <c r="L395" t="s">
        <v>15</v>
      </c>
      <c r="M395" t="str">
        <f t="shared" si="6"/>
        <v>No</v>
      </c>
    </row>
    <row r="396" spans="1:13" x14ac:dyDescent="0.3">
      <c r="A396" t="s">
        <v>422</v>
      </c>
      <c r="B396" t="s">
        <v>75</v>
      </c>
      <c r="C396">
        <v>4</v>
      </c>
      <c r="D396">
        <v>185.17</v>
      </c>
      <c r="E396">
        <v>1416.76</v>
      </c>
      <c r="F396">
        <v>21.93</v>
      </c>
      <c r="G396">
        <v>3721</v>
      </c>
      <c r="H396">
        <v>7.92</v>
      </c>
      <c r="I396">
        <v>0</v>
      </c>
      <c r="J396">
        <v>2016</v>
      </c>
      <c r="K396" t="s">
        <v>14</v>
      </c>
      <c r="L396" t="s">
        <v>15</v>
      </c>
      <c r="M396" t="str">
        <f t="shared" si="6"/>
        <v>Yes</v>
      </c>
    </row>
    <row r="397" spans="1:13" x14ac:dyDescent="0.3">
      <c r="A397" t="s">
        <v>423</v>
      </c>
      <c r="B397" t="s">
        <v>75</v>
      </c>
      <c r="C397">
        <v>1</v>
      </c>
      <c r="D397">
        <v>184.08</v>
      </c>
      <c r="E397">
        <v>1572.66</v>
      </c>
      <c r="F397">
        <v>39.74</v>
      </c>
      <c r="G397">
        <v>1852</v>
      </c>
      <c r="H397">
        <v>3.04</v>
      </c>
      <c r="I397">
        <v>1</v>
      </c>
      <c r="J397">
        <v>2002</v>
      </c>
      <c r="K397" t="s">
        <v>14</v>
      </c>
      <c r="L397" t="s">
        <v>15</v>
      </c>
      <c r="M397" t="str">
        <f t="shared" si="6"/>
        <v>No</v>
      </c>
    </row>
    <row r="398" spans="1:13" x14ac:dyDescent="0.3">
      <c r="A398" t="s">
        <v>424</v>
      </c>
      <c r="B398" t="s">
        <v>39</v>
      </c>
      <c r="C398">
        <v>5</v>
      </c>
      <c r="D398">
        <v>90</v>
      </c>
      <c r="E398">
        <v>1340.92</v>
      </c>
      <c r="F398">
        <v>4.53</v>
      </c>
      <c r="G398">
        <v>2660</v>
      </c>
      <c r="H398">
        <v>5.46</v>
      </c>
      <c r="I398">
        <v>0</v>
      </c>
      <c r="J398">
        <v>2002</v>
      </c>
      <c r="K398" t="s">
        <v>18</v>
      </c>
      <c r="L398" t="s">
        <v>15</v>
      </c>
      <c r="M398" t="str">
        <f t="shared" si="6"/>
        <v>No</v>
      </c>
    </row>
    <row r="399" spans="1:13" x14ac:dyDescent="0.3">
      <c r="A399" t="s">
        <v>425</v>
      </c>
      <c r="B399" t="s">
        <v>75</v>
      </c>
      <c r="C399">
        <v>2</v>
      </c>
      <c r="D399">
        <v>280.58999999999997</v>
      </c>
      <c r="E399">
        <v>4110.3599999999997</v>
      </c>
      <c r="F399">
        <v>27.85</v>
      </c>
      <c r="G399">
        <v>984</v>
      </c>
      <c r="H399">
        <v>3.52</v>
      </c>
      <c r="I399">
        <v>1</v>
      </c>
      <c r="J399">
        <v>2011</v>
      </c>
      <c r="K399" t="s">
        <v>32</v>
      </c>
      <c r="L399" t="s">
        <v>26</v>
      </c>
      <c r="M399" t="str">
        <f t="shared" si="6"/>
        <v>Yes</v>
      </c>
    </row>
    <row r="400" spans="1:13" x14ac:dyDescent="0.3">
      <c r="A400" t="s">
        <v>426</v>
      </c>
      <c r="B400" t="s">
        <v>13</v>
      </c>
      <c r="C400">
        <v>1</v>
      </c>
      <c r="D400">
        <v>284.23</v>
      </c>
      <c r="E400">
        <v>4066.7</v>
      </c>
      <c r="F400">
        <v>81.69</v>
      </c>
      <c r="G400">
        <v>4534</v>
      </c>
      <c r="H400">
        <v>4.2</v>
      </c>
      <c r="I400">
        <v>1</v>
      </c>
      <c r="J400">
        <v>2017</v>
      </c>
      <c r="K400" t="s">
        <v>14</v>
      </c>
      <c r="L400" t="s">
        <v>15</v>
      </c>
      <c r="M400" t="str">
        <f t="shared" si="6"/>
        <v>Yes</v>
      </c>
    </row>
    <row r="401" spans="1:13" x14ac:dyDescent="0.3">
      <c r="A401" t="s">
        <v>427</v>
      </c>
      <c r="B401" t="s">
        <v>30</v>
      </c>
      <c r="C401">
        <v>3</v>
      </c>
      <c r="D401">
        <v>187.78</v>
      </c>
      <c r="E401">
        <v>2329.62</v>
      </c>
      <c r="F401">
        <v>28.53</v>
      </c>
      <c r="G401">
        <v>3407</v>
      </c>
      <c r="H401">
        <v>7.35</v>
      </c>
      <c r="I401">
        <v>0</v>
      </c>
      <c r="J401">
        <v>2011</v>
      </c>
      <c r="K401" t="s">
        <v>28</v>
      </c>
      <c r="L401" t="s">
        <v>15</v>
      </c>
      <c r="M401" t="str">
        <f t="shared" si="6"/>
        <v>Yes</v>
      </c>
    </row>
    <row r="402" spans="1:13" x14ac:dyDescent="0.3">
      <c r="A402" t="s">
        <v>428</v>
      </c>
      <c r="B402" t="s">
        <v>17</v>
      </c>
      <c r="C402">
        <v>4</v>
      </c>
      <c r="D402">
        <v>235.14</v>
      </c>
      <c r="E402">
        <v>1706.67</v>
      </c>
      <c r="F402">
        <v>81.84</v>
      </c>
      <c r="G402">
        <v>3876</v>
      </c>
      <c r="H402">
        <v>8.83</v>
      </c>
      <c r="I402">
        <v>0</v>
      </c>
      <c r="J402">
        <v>2008</v>
      </c>
      <c r="K402" t="s">
        <v>32</v>
      </c>
      <c r="L402" t="s">
        <v>15</v>
      </c>
      <c r="M402" t="str">
        <f t="shared" si="6"/>
        <v>No</v>
      </c>
    </row>
    <row r="403" spans="1:13" x14ac:dyDescent="0.3">
      <c r="A403" t="s">
        <v>429</v>
      </c>
      <c r="B403" t="s">
        <v>75</v>
      </c>
      <c r="C403">
        <v>1</v>
      </c>
      <c r="D403">
        <v>183.87</v>
      </c>
      <c r="E403">
        <v>1460.95</v>
      </c>
      <c r="F403">
        <v>53.21</v>
      </c>
      <c r="G403">
        <v>282</v>
      </c>
      <c r="H403">
        <v>1.3</v>
      </c>
      <c r="I403">
        <v>0</v>
      </c>
      <c r="J403">
        <v>1997</v>
      </c>
      <c r="K403" t="s">
        <v>32</v>
      </c>
      <c r="L403" t="s">
        <v>15</v>
      </c>
      <c r="M403" t="str">
        <f t="shared" si="6"/>
        <v>No</v>
      </c>
    </row>
    <row r="404" spans="1:13" x14ac:dyDescent="0.3">
      <c r="A404" t="s">
        <v>430</v>
      </c>
      <c r="B404" t="s">
        <v>39</v>
      </c>
      <c r="C404">
        <v>2</v>
      </c>
      <c r="D404">
        <v>145.58000000000001</v>
      </c>
      <c r="E404">
        <v>1396.9</v>
      </c>
      <c r="F404">
        <v>88</v>
      </c>
      <c r="G404">
        <v>237</v>
      </c>
      <c r="H404">
        <v>6.38</v>
      </c>
      <c r="I404">
        <v>0</v>
      </c>
      <c r="J404">
        <v>1997</v>
      </c>
      <c r="K404" t="s">
        <v>41</v>
      </c>
      <c r="L404" t="s">
        <v>26</v>
      </c>
      <c r="M404" t="str">
        <f t="shared" si="6"/>
        <v>No</v>
      </c>
    </row>
    <row r="405" spans="1:13" x14ac:dyDescent="0.3">
      <c r="A405" t="s">
        <v>431</v>
      </c>
      <c r="B405" t="s">
        <v>13</v>
      </c>
      <c r="C405">
        <v>3</v>
      </c>
      <c r="D405">
        <v>198.42</v>
      </c>
      <c r="E405">
        <v>2572.8000000000002</v>
      </c>
      <c r="F405">
        <v>57.52</v>
      </c>
      <c r="G405">
        <v>1557</v>
      </c>
      <c r="H405">
        <v>5.86</v>
      </c>
      <c r="I405">
        <v>1</v>
      </c>
      <c r="J405">
        <v>2015</v>
      </c>
      <c r="K405" t="s">
        <v>14</v>
      </c>
      <c r="L405" t="s">
        <v>15</v>
      </c>
      <c r="M405" t="str">
        <f t="shared" si="6"/>
        <v>Yes</v>
      </c>
    </row>
    <row r="406" spans="1:13" x14ac:dyDescent="0.3">
      <c r="A406" t="s">
        <v>432</v>
      </c>
      <c r="B406" t="s">
        <v>30</v>
      </c>
      <c r="C406">
        <v>2</v>
      </c>
      <c r="D406">
        <v>166.12</v>
      </c>
      <c r="E406">
        <v>635.33000000000004</v>
      </c>
      <c r="F406">
        <v>3.06</v>
      </c>
      <c r="G406">
        <v>3275</v>
      </c>
      <c r="H406">
        <v>1.27</v>
      </c>
      <c r="I406">
        <v>0</v>
      </c>
      <c r="J406">
        <v>2015</v>
      </c>
      <c r="K406" t="s">
        <v>41</v>
      </c>
      <c r="L406" t="s">
        <v>15</v>
      </c>
      <c r="M406" t="str">
        <f t="shared" si="6"/>
        <v>Yes</v>
      </c>
    </row>
    <row r="407" spans="1:13" x14ac:dyDescent="0.3">
      <c r="A407" t="s">
        <v>433</v>
      </c>
      <c r="B407" t="s">
        <v>34</v>
      </c>
      <c r="C407">
        <v>2</v>
      </c>
      <c r="D407">
        <v>179.44</v>
      </c>
      <c r="E407">
        <v>1451.95</v>
      </c>
      <c r="F407">
        <v>67.569999999999993</v>
      </c>
      <c r="G407">
        <v>2414</v>
      </c>
      <c r="H407">
        <v>2.2000000000000002</v>
      </c>
      <c r="I407">
        <v>0</v>
      </c>
      <c r="J407">
        <v>2012</v>
      </c>
      <c r="K407" t="s">
        <v>14</v>
      </c>
      <c r="L407" t="s">
        <v>23</v>
      </c>
      <c r="M407" t="str">
        <f t="shared" si="6"/>
        <v>Yes</v>
      </c>
    </row>
    <row r="408" spans="1:13" x14ac:dyDescent="0.3">
      <c r="A408" t="s">
        <v>434</v>
      </c>
      <c r="B408" t="s">
        <v>34</v>
      </c>
      <c r="C408">
        <v>3</v>
      </c>
      <c r="D408">
        <v>235.26</v>
      </c>
      <c r="E408">
        <v>939.02</v>
      </c>
      <c r="F408">
        <v>4.58</v>
      </c>
      <c r="G408">
        <v>3517</v>
      </c>
      <c r="H408">
        <v>3.18</v>
      </c>
      <c r="I408">
        <v>0</v>
      </c>
      <c r="J408">
        <v>2002</v>
      </c>
      <c r="K408" t="s">
        <v>18</v>
      </c>
      <c r="L408" t="s">
        <v>15</v>
      </c>
      <c r="M408" t="str">
        <f t="shared" si="6"/>
        <v>No</v>
      </c>
    </row>
    <row r="409" spans="1:13" x14ac:dyDescent="0.3">
      <c r="A409" t="s">
        <v>435</v>
      </c>
      <c r="B409" t="s">
        <v>30</v>
      </c>
      <c r="C409">
        <v>2</v>
      </c>
      <c r="D409">
        <v>144.53</v>
      </c>
      <c r="E409">
        <v>1326.19</v>
      </c>
      <c r="F409">
        <v>45.11</v>
      </c>
      <c r="G409">
        <v>30</v>
      </c>
      <c r="H409">
        <v>1.75</v>
      </c>
      <c r="I409">
        <v>1</v>
      </c>
      <c r="J409">
        <v>2017</v>
      </c>
      <c r="K409" t="s">
        <v>41</v>
      </c>
      <c r="L409" t="s">
        <v>15</v>
      </c>
      <c r="M409" t="str">
        <f t="shared" si="6"/>
        <v>Yes</v>
      </c>
    </row>
    <row r="410" spans="1:13" x14ac:dyDescent="0.3">
      <c r="A410" t="s">
        <v>436</v>
      </c>
      <c r="B410" t="s">
        <v>13</v>
      </c>
      <c r="C410">
        <v>3</v>
      </c>
      <c r="D410">
        <v>12.71</v>
      </c>
      <c r="E410">
        <v>175.23</v>
      </c>
      <c r="F410">
        <v>92.95</v>
      </c>
      <c r="G410">
        <v>465</v>
      </c>
      <c r="H410">
        <v>2.5099999999999998</v>
      </c>
      <c r="I410">
        <v>0</v>
      </c>
      <c r="J410">
        <v>1998</v>
      </c>
      <c r="K410" t="s">
        <v>41</v>
      </c>
      <c r="L410" t="s">
        <v>15</v>
      </c>
      <c r="M410" t="str">
        <f t="shared" si="6"/>
        <v>No</v>
      </c>
    </row>
    <row r="411" spans="1:13" x14ac:dyDescent="0.3">
      <c r="A411" t="s">
        <v>437</v>
      </c>
      <c r="B411" t="s">
        <v>39</v>
      </c>
      <c r="C411">
        <v>1</v>
      </c>
      <c r="D411">
        <v>49.62</v>
      </c>
      <c r="E411">
        <v>614.78</v>
      </c>
      <c r="F411">
        <v>16.600000000000001</v>
      </c>
      <c r="G411">
        <v>3769</v>
      </c>
      <c r="H411">
        <v>2.75</v>
      </c>
      <c r="I411">
        <v>0</v>
      </c>
      <c r="J411">
        <v>2009</v>
      </c>
      <c r="K411" t="s">
        <v>28</v>
      </c>
      <c r="L411" t="s">
        <v>15</v>
      </c>
      <c r="M411" t="str">
        <f t="shared" si="6"/>
        <v>No</v>
      </c>
    </row>
    <row r="412" spans="1:13" x14ac:dyDescent="0.3">
      <c r="A412" t="s">
        <v>438</v>
      </c>
      <c r="B412" t="s">
        <v>30</v>
      </c>
      <c r="C412">
        <v>3</v>
      </c>
      <c r="D412">
        <v>131.86000000000001</v>
      </c>
      <c r="E412">
        <v>756.1</v>
      </c>
      <c r="F412">
        <v>39.049999999999997</v>
      </c>
      <c r="G412">
        <v>3436</v>
      </c>
      <c r="H412">
        <v>3.42</v>
      </c>
      <c r="I412">
        <v>0</v>
      </c>
      <c r="J412">
        <v>2008</v>
      </c>
      <c r="K412" t="s">
        <v>41</v>
      </c>
      <c r="L412" t="s">
        <v>26</v>
      </c>
      <c r="M412" t="str">
        <f t="shared" si="6"/>
        <v>No</v>
      </c>
    </row>
    <row r="413" spans="1:13" x14ac:dyDescent="0.3">
      <c r="A413" t="s">
        <v>439</v>
      </c>
      <c r="B413" t="s">
        <v>17</v>
      </c>
      <c r="C413">
        <v>3</v>
      </c>
      <c r="D413">
        <v>217.59</v>
      </c>
      <c r="E413">
        <v>3201.16</v>
      </c>
      <c r="F413">
        <v>73.010000000000005</v>
      </c>
      <c r="G413">
        <v>3488</v>
      </c>
      <c r="H413">
        <v>7.52</v>
      </c>
      <c r="I413">
        <v>1</v>
      </c>
      <c r="J413">
        <v>2001</v>
      </c>
      <c r="K413" t="s">
        <v>14</v>
      </c>
      <c r="L413" t="s">
        <v>15</v>
      </c>
      <c r="M413" t="str">
        <f t="shared" si="6"/>
        <v>No</v>
      </c>
    </row>
    <row r="414" spans="1:13" x14ac:dyDescent="0.3">
      <c r="A414" t="s">
        <v>440</v>
      </c>
      <c r="B414" t="s">
        <v>17</v>
      </c>
      <c r="C414">
        <v>4</v>
      </c>
      <c r="D414">
        <v>178.19</v>
      </c>
      <c r="E414">
        <v>1961.55</v>
      </c>
      <c r="F414">
        <v>88.24</v>
      </c>
      <c r="G414">
        <v>1999</v>
      </c>
      <c r="H414">
        <v>5.76</v>
      </c>
      <c r="I414">
        <v>1</v>
      </c>
      <c r="J414">
        <v>2004</v>
      </c>
      <c r="K414" t="s">
        <v>28</v>
      </c>
      <c r="L414" t="s">
        <v>15</v>
      </c>
      <c r="M414" t="str">
        <f t="shared" si="6"/>
        <v>No</v>
      </c>
    </row>
    <row r="415" spans="1:13" x14ac:dyDescent="0.3">
      <c r="A415" t="s">
        <v>441</v>
      </c>
      <c r="B415" t="s">
        <v>34</v>
      </c>
      <c r="C415">
        <v>3</v>
      </c>
      <c r="D415">
        <v>195.26</v>
      </c>
      <c r="E415">
        <v>610.21</v>
      </c>
      <c r="F415">
        <v>67.13</v>
      </c>
      <c r="G415">
        <v>495</v>
      </c>
      <c r="H415">
        <v>9.86</v>
      </c>
      <c r="I415">
        <v>0</v>
      </c>
      <c r="J415">
        <v>2020</v>
      </c>
      <c r="K415" t="s">
        <v>41</v>
      </c>
      <c r="L415" t="s">
        <v>15</v>
      </c>
      <c r="M415" t="str">
        <f t="shared" si="6"/>
        <v>Yes</v>
      </c>
    </row>
    <row r="416" spans="1:13" x14ac:dyDescent="0.3">
      <c r="A416" t="s">
        <v>442</v>
      </c>
      <c r="B416" t="s">
        <v>75</v>
      </c>
      <c r="C416">
        <v>3</v>
      </c>
      <c r="D416">
        <v>144.04</v>
      </c>
      <c r="E416">
        <v>873.6</v>
      </c>
      <c r="F416">
        <v>25.89</v>
      </c>
      <c r="G416">
        <v>1077</v>
      </c>
      <c r="H416">
        <v>4.21</v>
      </c>
      <c r="I416">
        <v>0</v>
      </c>
      <c r="J416">
        <v>2003</v>
      </c>
      <c r="K416" t="s">
        <v>41</v>
      </c>
      <c r="L416" t="s">
        <v>15</v>
      </c>
      <c r="M416" t="str">
        <f t="shared" si="6"/>
        <v>No</v>
      </c>
    </row>
    <row r="417" spans="1:13" x14ac:dyDescent="0.3">
      <c r="A417" t="s">
        <v>443</v>
      </c>
      <c r="B417" t="s">
        <v>39</v>
      </c>
      <c r="C417">
        <v>1</v>
      </c>
      <c r="D417">
        <v>184.91</v>
      </c>
      <c r="E417">
        <v>1133.23</v>
      </c>
      <c r="F417">
        <v>67.489999999999995</v>
      </c>
      <c r="G417">
        <v>3178</v>
      </c>
      <c r="H417">
        <v>7.56</v>
      </c>
      <c r="I417">
        <v>0</v>
      </c>
      <c r="J417">
        <v>2000</v>
      </c>
      <c r="K417" t="s">
        <v>18</v>
      </c>
      <c r="L417" t="s">
        <v>23</v>
      </c>
      <c r="M417" t="str">
        <f t="shared" si="6"/>
        <v>No</v>
      </c>
    </row>
    <row r="418" spans="1:13" x14ac:dyDescent="0.3">
      <c r="A418" t="s">
        <v>444</v>
      </c>
      <c r="B418" t="s">
        <v>34</v>
      </c>
      <c r="C418">
        <v>4</v>
      </c>
      <c r="D418">
        <v>99.04</v>
      </c>
      <c r="E418">
        <v>379.43</v>
      </c>
      <c r="F418">
        <v>29.74</v>
      </c>
      <c r="G418">
        <v>220</v>
      </c>
      <c r="H418">
        <v>8.73</v>
      </c>
      <c r="I418">
        <v>0</v>
      </c>
      <c r="J418">
        <v>2015</v>
      </c>
      <c r="K418" t="s">
        <v>41</v>
      </c>
      <c r="L418" t="s">
        <v>23</v>
      </c>
      <c r="M418" t="str">
        <f t="shared" si="6"/>
        <v>Yes</v>
      </c>
    </row>
    <row r="419" spans="1:13" x14ac:dyDescent="0.3">
      <c r="A419" t="s">
        <v>445</v>
      </c>
      <c r="B419" t="s">
        <v>75</v>
      </c>
      <c r="C419">
        <v>5</v>
      </c>
      <c r="D419">
        <v>141.32</v>
      </c>
      <c r="E419">
        <v>2051.67</v>
      </c>
      <c r="F419">
        <v>71.87</v>
      </c>
      <c r="G419">
        <v>1728</v>
      </c>
      <c r="H419">
        <v>6.82</v>
      </c>
      <c r="I419">
        <v>1</v>
      </c>
      <c r="J419">
        <v>2016</v>
      </c>
      <c r="K419" t="s">
        <v>32</v>
      </c>
      <c r="L419" t="s">
        <v>15</v>
      </c>
      <c r="M419" t="str">
        <f t="shared" si="6"/>
        <v>Yes</v>
      </c>
    </row>
    <row r="420" spans="1:13" x14ac:dyDescent="0.3">
      <c r="A420" t="s">
        <v>446</v>
      </c>
      <c r="B420" t="s">
        <v>75</v>
      </c>
      <c r="C420">
        <v>1</v>
      </c>
      <c r="D420">
        <v>223.41</v>
      </c>
      <c r="E420">
        <v>1952.39</v>
      </c>
      <c r="F420">
        <v>95.41</v>
      </c>
      <c r="G420">
        <v>1597</v>
      </c>
      <c r="H420">
        <v>4.18</v>
      </c>
      <c r="I420">
        <v>1</v>
      </c>
      <c r="J420">
        <v>2000</v>
      </c>
      <c r="K420" t="s">
        <v>28</v>
      </c>
      <c r="L420" t="s">
        <v>15</v>
      </c>
      <c r="M420" t="str">
        <f t="shared" si="6"/>
        <v>No</v>
      </c>
    </row>
    <row r="421" spans="1:13" x14ac:dyDescent="0.3">
      <c r="A421" t="s">
        <v>447</v>
      </c>
      <c r="B421" t="s">
        <v>21</v>
      </c>
      <c r="C421">
        <v>1</v>
      </c>
      <c r="D421">
        <v>261.61</v>
      </c>
      <c r="E421">
        <v>3597.08</v>
      </c>
      <c r="F421">
        <v>72.17</v>
      </c>
      <c r="G421">
        <v>2611</v>
      </c>
      <c r="H421">
        <v>7.56</v>
      </c>
      <c r="I421">
        <v>0</v>
      </c>
      <c r="J421">
        <v>2008</v>
      </c>
      <c r="K421" t="s">
        <v>32</v>
      </c>
      <c r="L421" t="s">
        <v>15</v>
      </c>
      <c r="M421" t="str">
        <f t="shared" si="6"/>
        <v>No</v>
      </c>
    </row>
    <row r="422" spans="1:13" x14ac:dyDescent="0.3">
      <c r="A422" t="s">
        <v>448</v>
      </c>
      <c r="B422" t="s">
        <v>17</v>
      </c>
      <c r="C422">
        <v>5</v>
      </c>
      <c r="D422">
        <v>130.38</v>
      </c>
      <c r="E422">
        <v>895.27</v>
      </c>
      <c r="F422">
        <v>86.3</v>
      </c>
      <c r="G422">
        <v>163</v>
      </c>
      <c r="H422">
        <v>2.12</v>
      </c>
      <c r="I422">
        <v>1</v>
      </c>
      <c r="J422">
        <v>1995</v>
      </c>
      <c r="K422" t="s">
        <v>28</v>
      </c>
      <c r="L422" t="s">
        <v>23</v>
      </c>
      <c r="M422" t="str">
        <f t="shared" si="6"/>
        <v>No</v>
      </c>
    </row>
    <row r="423" spans="1:13" x14ac:dyDescent="0.3">
      <c r="A423" t="s">
        <v>449</v>
      </c>
      <c r="B423" t="s">
        <v>13</v>
      </c>
      <c r="C423">
        <v>3</v>
      </c>
      <c r="D423">
        <v>13.58</v>
      </c>
      <c r="E423">
        <v>61.15</v>
      </c>
      <c r="F423">
        <v>0.31</v>
      </c>
      <c r="G423">
        <v>4786</v>
      </c>
      <c r="H423">
        <v>3.34</v>
      </c>
      <c r="I423">
        <v>0</v>
      </c>
      <c r="J423">
        <v>2017</v>
      </c>
      <c r="K423" t="s">
        <v>18</v>
      </c>
      <c r="L423" t="s">
        <v>15</v>
      </c>
      <c r="M423" t="str">
        <f t="shared" si="6"/>
        <v>Yes</v>
      </c>
    </row>
    <row r="424" spans="1:13" x14ac:dyDescent="0.3">
      <c r="A424" t="s">
        <v>450</v>
      </c>
      <c r="B424" t="s">
        <v>25</v>
      </c>
      <c r="C424">
        <v>2</v>
      </c>
      <c r="D424">
        <v>48.92</v>
      </c>
      <c r="E424">
        <v>425.21</v>
      </c>
      <c r="F424">
        <v>71.790000000000006</v>
      </c>
      <c r="G424">
        <v>3318</v>
      </c>
      <c r="H424">
        <v>5.51</v>
      </c>
      <c r="I424">
        <v>1</v>
      </c>
      <c r="J424">
        <v>1990</v>
      </c>
      <c r="K424" t="s">
        <v>41</v>
      </c>
      <c r="L424" t="s">
        <v>15</v>
      </c>
      <c r="M424" t="str">
        <f t="shared" si="6"/>
        <v>No</v>
      </c>
    </row>
    <row r="425" spans="1:13" x14ac:dyDescent="0.3">
      <c r="A425" t="s">
        <v>451</v>
      </c>
      <c r="B425" t="s">
        <v>13</v>
      </c>
      <c r="C425">
        <v>4</v>
      </c>
      <c r="D425">
        <v>6.75</v>
      </c>
      <c r="E425">
        <v>29.48</v>
      </c>
      <c r="F425">
        <v>82.98</v>
      </c>
      <c r="G425">
        <v>2846</v>
      </c>
      <c r="H425">
        <v>5.8</v>
      </c>
      <c r="I425">
        <v>1</v>
      </c>
      <c r="J425">
        <v>1997</v>
      </c>
      <c r="K425" t="s">
        <v>41</v>
      </c>
      <c r="L425" t="s">
        <v>15</v>
      </c>
      <c r="M425" t="str">
        <f t="shared" si="6"/>
        <v>No</v>
      </c>
    </row>
    <row r="426" spans="1:13" x14ac:dyDescent="0.3">
      <c r="A426" t="s">
        <v>452</v>
      </c>
      <c r="B426" t="s">
        <v>25</v>
      </c>
      <c r="C426">
        <v>2</v>
      </c>
      <c r="D426">
        <v>196.15</v>
      </c>
      <c r="E426">
        <v>1732.43</v>
      </c>
      <c r="F426">
        <v>4.1500000000000004</v>
      </c>
      <c r="G426">
        <v>1781</v>
      </c>
      <c r="H426">
        <v>0.32</v>
      </c>
      <c r="I426">
        <v>0</v>
      </c>
      <c r="J426">
        <v>1996</v>
      </c>
      <c r="K426" t="s">
        <v>41</v>
      </c>
      <c r="L426" t="s">
        <v>23</v>
      </c>
      <c r="M426" t="str">
        <f t="shared" si="6"/>
        <v>No</v>
      </c>
    </row>
    <row r="427" spans="1:13" x14ac:dyDescent="0.3">
      <c r="A427" t="s">
        <v>453</v>
      </c>
      <c r="B427" t="s">
        <v>30</v>
      </c>
      <c r="C427">
        <v>5</v>
      </c>
      <c r="D427">
        <v>100.03</v>
      </c>
      <c r="E427">
        <v>1404.78</v>
      </c>
      <c r="F427">
        <v>87.17</v>
      </c>
      <c r="G427">
        <v>2057</v>
      </c>
      <c r="H427">
        <v>9.4600000000000009</v>
      </c>
      <c r="I427">
        <v>1</v>
      </c>
      <c r="J427">
        <v>2000</v>
      </c>
      <c r="K427" t="s">
        <v>28</v>
      </c>
      <c r="L427" t="s">
        <v>15</v>
      </c>
      <c r="M427" t="str">
        <f t="shared" si="6"/>
        <v>No</v>
      </c>
    </row>
    <row r="428" spans="1:13" x14ac:dyDescent="0.3">
      <c r="A428" t="s">
        <v>454</v>
      </c>
      <c r="B428" t="s">
        <v>17</v>
      </c>
      <c r="C428">
        <v>1</v>
      </c>
      <c r="D428">
        <v>162.97</v>
      </c>
      <c r="E428">
        <v>1507.35</v>
      </c>
      <c r="F428">
        <v>25.74</v>
      </c>
      <c r="G428">
        <v>2300</v>
      </c>
      <c r="H428">
        <v>7</v>
      </c>
      <c r="I428">
        <v>0</v>
      </c>
      <c r="J428">
        <v>1993</v>
      </c>
      <c r="K428" t="s">
        <v>41</v>
      </c>
      <c r="L428" t="s">
        <v>15</v>
      </c>
      <c r="M428" t="str">
        <f t="shared" si="6"/>
        <v>No</v>
      </c>
    </row>
    <row r="429" spans="1:13" x14ac:dyDescent="0.3">
      <c r="A429" t="s">
        <v>455</v>
      </c>
      <c r="B429" t="s">
        <v>75</v>
      </c>
      <c r="C429">
        <v>1</v>
      </c>
      <c r="D429">
        <v>148.24</v>
      </c>
      <c r="E429">
        <v>1541.4</v>
      </c>
      <c r="F429">
        <v>66.56</v>
      </c>
      <c r="G429">
        <v>1701</v>
      </c>
      <c r="H429">
        <v>5.01</v>
      </c>
      <c r="I429">
        <v>0</v>
      </c>
      <c r="J429">
        <v>2014</v>
      </c>
      <c r="K429" t="s">
        <v>32</v>
      </c>
      <c r="L429" t="s">
        <v>15</v>
      </c>
      <c r="M429" t="str">
        <f t="shared" si="6"/>
        <v>Yes</v>
      </c>
    </row>
    <row r="430" spans="1:13" x14ac:dyDescent="0.3">
      <c r="A430" t="s">
        <v>456</v>
      </c>
      <c r="B430" t="s">
        <v>39</v>
      </c>
      <c r="C430">
        <v>4</v>
      </c>
      <c r="D430">
        <v>24.92</v>
      </c>
      <c r="E430">
        <v>121.6</v>
      </c>
      <c r="F430">
        <v>80.06</v>
      </c>
      <c r="G430">
        <v>2998</v>
      </c>
      <c r="H430">
        <v>9.34</v>
      </c>
      <c r="I430">
        <v>0</v>
      </c>
      <c r="J430">
        <v>2001</v>
      </c>
      <c r="K430" t="s">
        <v>41</v>
      </c>
      <c r="L430" t="s">
        <v>15</v>
      </c>
      <c r="M430" t="str">
        <f t="shared" si="6"/>
        <v>No</v>
      </c>
    </row>
    <row r="431" spans="1:13" x14ac:dyDescent="0.3">
      <c r="A431" t="s">
        <v>457</v>
      </c>
      <c r="B431" t="s">
        <v>25</v>
      </c>
      <c r="C431">
        <v>1</v>
      </c>
      <c r="D431">
        <v>121.28</v>
      </c>
      <c r="E431">
        <v>427.49</v>
      </c>
      <c r="F431">
        <v>66.3</v>
      </c>
      <c r="G431">
        <v>2474</v>
      </c>
      <c r="H431">
        <v>4.45</v>
      </c>
      <c r="I431">
        <v>0</v>
      </c>
      <c r="J431">
        <v>2015</v>
      </c>
      <c r="K431" t="s">
        <v>18</v>
      </c>
      <c r="L431" t="s">
        <v>15</v>
      </c>
      <c r="M431" t="str">
        <f t="shared" si="6"/>
        <v>Yes</v>
      </c>
    </row>
    <row r="432" spans="1:13" x14ac:dyDescent="0.3">
      <c r="A432" t="s">
        <v>458</v>
      </c>
      <c r="B432" t="s">
        <v>13</v>
      </c>
      <c r="C432">
        <v>1</v>
      </c>
      <c r="D432">
        <v>66.56</v>
      </c>
      <c r="E432">
        <v>288.18</v>
      </c>
      <c r="F432">
        <v>9.32</v>
      </c>
      <c r="G432">
        <v>1951</v>
      </c>
      <c r="H432">
        <v>9.81</v>
      </c>
      <c r="I432">
        <v>1</v>
      </c>
      <c r="J432">
        <v>2001</v>
      </c>
      <c r="K432" t="s">
        <v>32</v>
      </c>
      <c r="L432" t="s">
        <v>15</v>
      </c>
      <c r="M432" t="str">
        <f t="shared" si="6"/>
        <v>No</v>
      </c>
    </row>
    <row r="433" spans="1:13" x14ac:dyDescent="0.3">
      <c r="A433" t="s">
        <v>459</v>
      </c>
      <c r="B433" t="s">
        <v>75</v>
      </c>
      <c r="C433">
        <v>4</v>
      </c>
      <c r="D433">
        <v>125.81</v>
      </c>
      <c r="E433">
        <v>1281.05</v>
      </c>
      <c r="F433">
        <v>59.67</v>
      </c>
      <c r="G433">
        <v>3814</v>
      </c>
      <c r="H433">
        <v>5.17</v>
      </c>
      <c r="I433">
        <v>1</v>
      </c>
      <c r="J433">
        <v>2013</v>
      </c>
      <c r="K433" t="s">
        <v>41</v>
      </c>
      <c r="L433" t="s">
        <v>15</v>
      </c>
      <c r="M433" t="str">
        <f t="shared" si="6"/>
        <v>Yes</v>
      </c>
    </row>
    <row r="434" spans="1:13" x14ac:dyDescent="0.3">
      <c r="A434" t="s">
        <v>460</v>
      </c>
      <c r="B434" t="s">
        <v>25</v>
      </c>
      <c r="C434">
        <v>4</v>
      </c>
      <c r="D434">
        <v>61.47</v>
      </c>
      <c r="E434">
        <v>254.49</v>
      </c>
      <c r="F434">
        <v>55</v>
      </c>
      <c r="G434">
        <v>2788</v>
      </c>
      <c r="H434">
        <v>1.23</v>
      </c>
      <c r="I434">
        <v>1</v>
      </c>
      <c r="J434">
        <v>2005</v>
      </c>
      <c r="K434" t="s">
        <v>41</v>
      </c>
      <c r="L434" t="s">
        <v>23</v>
      </c>
      <c r="M434" t="str">
        <f t="shared" si="6"/>
        <v>No</v>
      </c>
    </row>
    <row r="435" spans="1:13" x14ac:dyDescent="0.3">
      <c r="A435" t="s">
        <v>461</v>
      </c>
      <c r="B435" t="s">
        <v>25</v>
      </c>
      <c r="C435">
        <v>5</v>
      </c>
      <c r="D435">
        <v>252.22</v>
      </c>
      <c r="E435">
        <v>1894.66</v>
      </c>
      <c r="F435">
        <v>90.04</v>
      </c>
      <c r="G435">
        <v>3649</v>
      </c>
      <c r="H435">
        <v>7.67</v>
      </c>
      <c r="I435">
        <v>1</v>
      </c>
      <c r="J435">
        <v>2002</v>
      </c>
      <c r="K435" t="s">
        <v>14</v>
      </c>
      <c r="L435" t="s">
        <v>15</v>
      </c>
      <c r="M435" t="str">
        <f t="shared" si="6"/>
        <v>No</v>
      </c>
    </row>
    <row r="436" spans="1:13" x14ac:dyDescent="0.3">
      <c r="A436" t="s">
        <v>462</v>
      </c>
      <c r="B436" t="s">
        <v>21</v>
      </c>
      <c r="C436">
        <v>1</v>
      </c>
      <c r="D436">
        <v>52.67</v>
      </c>
      <c r="E436">
        <v>505.69</v>
      </c>
      <c r="F436">
        <v>40.479999999999997</v>
      </c>
      <c r="G436">
        <v>2505</v>
      </c>
      <c r="H436">
        <v>6.82</v>
      </c>
      <c r="I436">
        <v>1</v>
      </c>
      <c r="J436">
        <v>2014</v>
      </c>
      <c r="K436" t="s">
        <v>28</v>
      </c>
      <c r="L436" t="s">
        <v>26</v>
      </c>
      <c r="M436" t="str">
        <f t="shared" si="6"/>
        <v>Yes</v>
      </c>
    </row>
    <row r="437" spans="1:13" x14ac:dyDescent="0.3">
      <c r="A437" t="s">
        <v>463</v>
      </c>
      <c r="B437" t="s">
        <v>25</v>
      </c>
      <c r="C437">
        <v>1</v>
      </c>
      <c r="D437">
        <v>288.25</v>
      </c>
      <c r="E437">
        <v>2209.1</v>
      </c>
      <c r="F437">
        <v>32.18</v>
      </c>
      <c r="G437">
        <v>3650</v>
      </c>
      <c r="H437">
        <v>7.75</v>
      </c>
      <c r="I437">
        <v>0</v>
      </c>
      <c r="J437">
        <v>1993</v>
      </c>
      <c r="K437" t="s">
        <v>32</v>
      </c>
      <c r="L437" t="s">
        <v>15</v>
      </c>
      <c r="M437" t="str">
        <f t="shared" si="6"/>
        <v>No</v>
      </c>
    </row>
    <row r="438" spans="1:13" x14ac:dyDescent="0.3">
      <c r="A438" t="s">
        <v>464</v>
      </c>
      <c r="B438" t="s">
        <v>39</v>
      </c>
      <c r="C438">
        <v>5</v>
      </c>
      <c r="D438">
        <v>125.06</v>
      </c>
      <c r="E438">
        <v>620.82000000000005</v>
      </c>
      <c r="F438">
        <v>75.010000000000005</v>
      </c>
      <c r="G438">
        <v>2650</v>
      </c>
      <c r="H438">
        <v>9.52</v>
      </c>
      <c r="I438">
        <v>0</v>
      </c>
      <c r="J438">
        <v>2000</v>
      </c>
      <c r="K438" t="s">
        <v>14</v>
      </c>
      <c r="L438" t="s">
        <v>15</v>
      </c>
      <c r="M438" t="str">
        <f t="shared" si="6"/>
        <v>No</v>
      </c>
    </row>
    <row r="439" spans="1:13" x14ac:dyDescent="0.3">
      <c r="A439" t="s">
        <v>465</v>
      </c>
      <c r="B439" t="s">
        <v>17</v>
      </c>
      <c r="C439">
        <v>3</v>
      </c>
      <c r="D439">
        <v>253.95</v>
      </c>
      <c r="E439">
        <v>1596.2</v>
      </c>
      <c r="F439">
        <v>41.33</v>
      </c>
      <c r="G439">
        <v>2354</v>
      </c>
      <c r="H439">
        <v>7.79</v>
      </c>
      <c r="I439">
        <v>0</v>
      </c>
      <c r="J439">
        <v>2021</v>
      </c>
      <c r="K439" t="s">
        <v>18</v>
      </c>
      <c r="L439" t="s">
        <v>15</v>
      </c>
      <c r="M439" t="str">
        <f t="shared" si="6"/>
        <v>Yes</v>
      </c>
    </row>
    <row r="440" spans="1:13" x14ac:dyDescent="0.3">
      <c r="A440" t="s">
        <v>466</v>
      </c>
      <c r="B440" t="s">
        <v>39</v>
      </c>
      <c r="C440">
        <v>3</v>
      </c>
      <c r="D440">
        <v>188.82</v>
      </c>
      <c r="E440">
        <v>2669.88</v>
      </c>
      <c r="F440">
        <v>64.650000000000006</v>
      </c>
      <c r="G440">
        <v>1937</v>
      </c>
      <c r="H440">
        <v>6.15</v>
      </c>
      <c r="I440">
        <v>1</v>
      </c>
      <c r="J440">
        <v>1996</v>
      </c>
      <c r="K440" t="s">
        <v>28</v>
      </c>
      <c r="L440" t="s">
        <v>15</v>
      </c>
      <c r="M440" t="str">
        <f t="shared" si="6"/>
        <v>No</v>
      </c>
    </row>
    <row r="441" spans="1:13" x14ac:dyDescent="0.3">
      <c r="A441" t="s">
        <v>467</v>
      </c>
      <c r="B441" t="s">
        <v>34</v>
      </c>
      <c r="C441">
        <v>3</v>
      </c>
      <c r="D441">
        <v>220.74</v>
      </c>
      <c r="E441">
        <v>2452.8200000000002</v>
      </c>
      <c r="F441">
        <v>64.680000000000007</v>
      </c>
      <c r="G441">
        <v>3299</v>
      </c>
      <c r="H441">
        <v>8.59</v>
      </c>
      <c r="I441">
        <v>1</v>
      </c>
      <c r="J441">
        <v>2000</v>
      </c>
      <c r="K441" t="s">
        <v>32</v>
      </c>
      <c r="L441" t="s">
        <v>23</v>
      </c>
      <c r="M441" t="str">
        <f t="shared" si="6"/>
        <v>No</v>
      </c>
    </row>
    <row r="442" spans="1:13" x14ac:dyDescent="0.3">
      <c r="A442" t="s">
        <v>468</v>
      </c>
      <c r="B442" t="s">
        <v>75</v>
      </c>
      <c r="C442">
        <v>5</v>
      </c>
      <c r="D442">
        <v>230.43</v>
      </c>
      <c r="E442">
        <v>2062.94</v>
      </c>
      <c r="F442">
        <v>88.82</v>
      </c>
      <c r="G442">
        <v>1762</v>
      </c>
      <c r="H442">
        <v>6.77</v>
      </c>
      <c r="I442">
        <v>0</v>
      </c>
      <c r="J442">
        <v>2017</v>
      </c>
      <c r="K442" t="s">
        <v>41</v>
      </c>
      <c r="L442" t="s">
        <v>15</v>
      </c>
      <c r="M442" t="str">
        <f t="shared" si="6"/>
        <v>Yes</v>
      </c>
    </row>
    <row r="443" spans="1:13" x14ac:dyDescent="0.3">
      <c r="A443" t="s">
        <v>469</v>
      </c>
      <c r="B443" t="s">
        <v>17</v>
      </c>
      <c r="C443">
        <v>1</v>
      </c>
      <c r="D443">
        <v>151.69999999999999</v>
      </c>
      <c r="E443">
        <v>478.25</v>
      </c>
      <c r="F443">
        <v>59.91</v>
      </c>
      <c r="G443">
        <v>1121</v>
      </c>
      <c r="H443">
        <v>4.1399999999999997</v>
      </c>
      <c r="I443">
        <v>1</v>
      </c>
      <c r="J443">
        <v>2012</v>
      </c>
      <c r="K443" t="s">
        <v>32</v>
      </c>
      <c r="L443" t="s">
        <v>15</v>
      </c>
      <c r="M443" t="str">
        <f t="shared" si="6"/>
        <v>Yes</v>
      </c>
    </row>
    <row r="444" spans="1:13" x14ac:dyDescent="0.3">
      <c r="A444" t="s">
        <v>470</v>
      </c>
      <c r="B444" t="s">
        <v>21</v>
      </c>
      <c r="C444">
        <v>5</v>
      </c>
      <c r="D444">
        <v>163.22</v>
      </c>
      <c r="E444">
        <v>2433.44</v>
      </c>
      <c r="F444">
        <v>50.27</v>
      </c>
      <c r="G444">
        <v>2572</v>
      </c>
      <c r="H444">
        <v>8.8699999999999992</v>
      </c>
      <c r="I444">
        <v>1</v>
      </c>
      <c r="J444">
        <v>2012</v>
      </c>
      <c r="K444" t="s">
        <v>41</v>
      </c>
      <c r="L444" t="s">
        <v>26</v>
      </c>
      <c r="M444" t="str">
        <f t="shared" si="6"/>
        <v>Yes</v>
      </c>
    </row>
    <row r="445" spans="1:13" x14ac:dyDescent="0.3">
      <c r="A445" t="s">
        <v>471</v>
      </c>
      <c r="B445" t="s">
        <v>17</v>
      </c>
      <c r="C445">
        <v>5</v>
      </c>
      <c r="D445">
        <v>154.44</v>
      </c>
      <c r="E445">
        <v>1707.71</v>
      </c>
      <c r="F445">
        <v>13.97</v>
      </c>
      <c r="G445">
        <v>3504</v>
      </c>
      <c r="H445">
        <v>2.2999999999999998</v>
      </c>
      <c r="I445">
        <v>0</v>
      </c>
      <c r="J445">
        <v>2017</v>
      </c>
      <c r="K445" t="s">
        <v>28</v>
      </c>
      <c r="L445" t="s">
        <v>15</v>
      </c>
      <c r="M445" t="str">
        <f t="shared" si="6"/>
        <v>Yes</v>
      </c>
    </row>
    <row r="446" spans="1:13" x14ac:dyDescent="0.3">
      <c r="A446" t="s">
        <v>472</v>
      </c>
      <c r="B446" t="s">
        <v>17</v>
      </c>
      <c r="C446">
        <v>3</v>
      </c>
      <c r="D446">
        <v>176.62</v>
      </c>
      <c r="E446">
        <v>1201.56</v>
      </c>
      <c r="F446">
        <v>11.66</v>
      </c>
      <c r="G446">
        <v>497</v>
      </c>
      <c r="H446">
        <v>7.17</v>
      </c>
      <c r="I446">
        <v>0</v>
      </c>
      <c r="J446">
        <v>2015</v>
      </c>
      <c r="K446" t="s">
        <v>41</v>
      </c>
      <c r="L446" t="s">
        <v>23</v>
      </c>
      <c r="M446" t="str">
        <f t="shared" si="6"/>
        <v>Yes</v>
      </c>
    </row>
    <row r="447" spans="1:13" x14ac:dyDescent="0.3">
      <c r="A447" t="s">
        <v>473</v>
      </c>
      <c r="B447" t="s">
        <v>13</v>
      </c>
      <c r="C447">
        <v>2</v>
      </c>
      <c r="D447">
        <v>9.3000000000000007</v>
      </c>
      <c r="E447">
        <v>126.03</v>
      </c>
      <c r="F447">
        <v>15.52</v>
      </c>
      <c r="G447">
        <v>3311</v>
      </c>
      <c r="H447">
        <v>8.83</v>
      </c>
      <c r="I447">
        <v>0</v>
      </c>
      <c r="J447">
        <v>2014</v>
      </c>
      <c r="K447" t="s">
        <v>18</v>
      </c>
      <c r="L447" t="s">
        <v>15</v>
      </c>
      <c r="M447" t="str">
        <f t="shared" si="6"/>
        <v>Yes</v>
      </c>
    </row>
    <row r="448" spans="1:13" x14ac:dyDescent="0.3">
      <c r="A448" t="s">
        <v>474</v>
      </c>
      <c r="B448" t="s">
        <v>17</v>
      </c>
      <c r="C448">
        <v>1</v>
      </c>
      <c r="D448">
        <v>118.96</v>
      </c>
      <c r="E448">
        <v>725.8</v>
      </c>
      <c r="F448">
        <v>17.27</v>
      </c>
      <c r="G448">
        <v>624</v>
      </c>
      <c r="H448">
        <v>7.34</v>
      </c>
      <c r="I448">
        <v>0</v>
      </c>
      <c r="J448">
        <v>2018</v>
      </c>
      <c r="K448" t="s">
        <v>41</v>
      </c>
      <c r="L448" t="s">
        <v>15</v>
      </c>
      <c r="M448" t="str">
        <f t="shared" si="6"/>
        <v>Yes</v>
      </c>
    </row>
    <row r="449" spans="1:13" x14ac:dyDescent="0.3">
      <c r="A449" t="s">
        <v>475</v>
      </c>
      <c r="B449" t="s">
        <v>21</v>
      </c>
      <c r="C449">
        <v>3</v>
      </c>
      <c r="D449">
        <v>182.05</v>
      </c>
      <c r="E449">
        <v>1734.61</v>
      </c>
      <c r="F449">
        <v>63.82</v>
      </c>
      <c r="G449">
        <v>3237</v>
      </c>
      <c r="H449">
        <v>7</v>
      </c>
      <c r="I449">
        <v>0</v>
      </c>
      <c r="J449">
        <v>2008</v>
      </c>
      <c r="K449" t="s">
        <v>18</v>
      </c>
      <c r="L449" t="s">
        <v>23</v>
      </c>
      <c r="M449" t="str">
        <f t="shared" si="6"/>
        <v>No</v>
      </c>
    </row>
    <row r="450" spans="1:13" x14ac:dyDescent="0.3">
      <c r="A450" t="s">
        <v>476</v>
      </c>
      <c r="B450" t="s">
        <v>39</v>
      </c>
      <c r="C450">
        <v>2</v>
      </c>
      <c r="D450">
        <v>179.52</v>
      </c>
      <c r="E450">
        <v>1908.81</v>
      </c>
      <c r="F450">
        <v>74.12</v>
      </c>
      <c r="G450">
        <v>3828</v>
      </c>
      <c r="H450">
        <v>7.55</v>
      </c>
      <c r="I450">
        <v>0</v>
      </c>
      <c r="J450">
        <v>2022</v>
      </c>
      <c r="K450" t="s">
        <v>28</v>
      </c>
      <c r="L450" t="s">
        <v>15</v>
      </c>
      <c r="M450" t="str">
        <f t="shared" si="6"/>
        <v>Yes</v>
      </c>
    </row>
    <row r="451" spans="1:13" x14ac:dyDescent="0.3">
      <c r="A451" t="s">
        <v>477</v>
      </c>
      <c r="B451" t="s">
        <v>17</v>
      </c>
      <c r="C451">
        <v>2</v>
      </c>
      <c r="D451">
        <v>237.99</v>
      </c>
      <c r="E451">
        <v>1345.3</v>
      </c>
      <c r="F451">
        <v>53.05</v>
      </c>
      <c r="G451">
        <v>2385</v>
      </c>
      <c r="H451">
        <v>4.7</v>
      </c>
      <c r="I451">
        <v>0</v>
      </c>
      <c r="J451">
        <v>2003</v>
      </c>
      <c r="K451" t="s">
        <v>28</v>
      </c>
      <c r="L451" t="s">
        <v>26</v>
      </c>
      <c r="M451" t="str">
        <f t="shared" ref="M451:M501" si="7">IF(J451&gt;2010,"Yes","No")</f>
        <v>No</v>
      </c>
    </row>
    <row r="452" spans="1:13" x14ac:dyDescent="0.3">
      <c r="A452" t="s">
        <v>478</v>
      </c>
      <c r="B452" t="s">
        <v>30</v>
      </c>
      <c r="C452">
        <v>4</v>
      </c>
      <c r="D452">
        <v>196.68</v>
      </c>
      <c r="E452">
        <v>2899.21</v>
      </c>
      <c r="F452">
        <v>82.92</v>
      </c>
      <c r="G452">
        <v>1551</v>
      </c>
      <c r="H452">
        <v>8.75</v>
      </c>
      <c r="I452">
        <v>0</v>
      </c>
      <c r="J452">
        <v>2003</v>
      </c>
      <c r="K452" t="s">
        <v>32</v>
      </c>
      <c r="L452" t="s">
        <v>23</v>
      </c>
      <c r="M452" t="str">
        <f t="shared" si="7"/>
        <v>No</v>
      </c>
    </row>
    <row r="453" spans="1:13" x14ac:dyDescent="0.3">
      <c r="A453" t="s">
        <v>479</v>
      </c>
      <c r="B453" t="s">
        <v>75</v>
      </c>
      <c r="C453">
        <v>1</v>
      </c>
      <c r="D453">
        <v>297.64</v>
      </c>
      <c r="E453">
        <v>3565.22</v>
      </c>
      <c r="F453">
        <v>99.13</v>
      </c>
      <c r="G453">
        <v>4963</v>
      </c>
      <c r="H453">
        <v>2.11</v>
      </c>
      <c r="I453">
        <v>1</v>
      </c>
      <c r="J453">
        <v>2019</v>
      </c>
      <c r="K453" t="s">
        <v>18</v>
      </c>
      <c r="L453" t="s">
        <v>26</v>
      </c>
      <c r="M453" t="str">
        <f t="shared" si="7"/>
        <v>Yes</v>
      </c>
    </row>
    <row r="454" spans="1:13" x14ac:dyDescent="0.3">
      <c r="A454" t="s">
        <v>480</v>
      </c>
      <c r="B454" t="s">
        <v>17</v>
      </c>
      <c r="C454">
        <v>2</v>
      </c>
      <c r="D454">
        <v>85.51</v>
      </c>
      <c r="E454">
        <v>828.91</v>
      </c>
      <c r="F454">
        <v>82.02</v>
      </c>
      <c r="G454">
        <v>3568</v>
      </c>
      <c r="H454">
        <v>1.36</v>
      </c>
      <c r="I454">
        <v>0</v>
      </c>
      <c r="J454">
        <v>2017</v>
      </c>
      <c r="K454" t="s">
        <v>18</v>
      </c>
      <c r="L454" t="s">
        <v>15</v>
      </c>
      <c r="M454" t="str">
        <f t="shared" si="7"/>
        <v>Yes</v>
      </c>
    </row>
    <row r="455" spans="1:13" x14ac:dyDescent="0.3">
      <c r="A455" t="s">
        <v>481</v>
      </c>
      <c r="B455" t="s">
        <v>75</v>
      </c>
      <c r="C455">
        <v>3</v>
      </c>
      <c r="D455">
        <v>108.07</v>
      </c>
      <c r="E455">
        <v>558.41</v>
      </c>
      <c r="F455">
        <v>69.52</v>
      </c>
      <c r="G455">
        <v>1610</v>
      </c>
      <c r="H455">
        <v>2.93</v>
      </c>
      <c r="I455">
        <v>1</v>
      </c>
      <c r="J455">
        <v>2006</v>
      </c>
      <c r="K455" t="s">
        <v>14</v>
      </c>
      <c r="L455" t="s">
        <v>15</v>
      </c>
      <c r="M455" t="str">
        <f t="shared" si="7"/>
        <v>No</v>
      </c>
    </row>
    <row r="456" spans="1:13" x14ac:dyDescent="0.3">
      <c r="A456" t="s">
        <v>482</v>
      </c>
      <c r="B456" t="s">
        <v>30</v>
      </c>
      <c r="C456">
        <v>4</v>
      </c>
      <c r="D456">
        <v>115.46</v>
      </c>
      <c r="E456">
        <v>421</v>
      </c>
      <c r="F456">
        <v>53.3</v>
      </c>
      <c r="G456">
        <v>3757</v>
      </c>
      <c r="H456">
        <v>5.36</v>
      </c>
      <c r="I456">
        <v>0</v>
      </c>
      <c r="J456">
        <v>1992</v>
      </c>
      <c r="K456" t="s">
        <v>14</v>
      </c>
      <c r="L456" t="s">
        <v>15</v>
      </c>
      <c r="M456" t="str">
        <f t="shared" si="7"/>
        <v>No</v>
      </c>
    </row>
    <row r="457" spans="1:13" x14ac:dyDescent="0.3">
      <c r="A457" t="s">
        <v>483</v>
      </c>
      <c r="B457" t="s">
        <v>30</v>
      </c>
      <c r="C457">
        <v>1</v>
      </c>
      <c r="D457">
        <v>140.01</v>
      </c>
      <c r="E457">
        <v>957.77</v>
      </c>
      <c r="F457">
        <v>44.94</v>
      </c>
      <c r="G457">
        <v>4680</v>
      </c>
      <c r="H457">
        <v>5.15</v>
      </c>
      <c r="I457">
        <v>0</v>
      </c>
      <c r="J457">
        <v>2005</v>
      </c>
      <c r="K457" t="s">
        <v>14</v>
      </c>
      <c r="L457" t="s">
        <v>23</v>
      </c>
      <c r="M457" t="str">
        <f t="shared" si="7"/>
        <v>No</v>
      </c>
    </row>
    <row r="458" spans="1:13" x14ac:dyDescent="0.3">
      <c r="A458" t="s">
        <v>484</v>
      </c>
      <c r="B458" t="s">
        <v>75</v>
      </c>
      <c r="C458">
        <v>5</v>
      </c>
      <c r="D458">
        <v>250.88</v>
      </c>
      <c r="E458">
        <v>3020.16</v>
      </c>
      <c r="F458">
        <v>8.5299999999999994</v>
      </c>
      <c r="G458">
        <v>1895</v>
      </c>
      <c r="H458">
        <v>8.2200000000000006</v>
      </c>
      <c r="I458">
        <v>1</v>
      </c>
      <c r="J458">
        <v>2019</v>
      </c>
      <c r="K458" t="s">
        <v>41</v>
      </c>
      <c r="L458" t="s">
        <v>23</v>
      </c>
      <c r="M458" t="str">
        <f t="shared" si="7"/>
        <v>Yes</v>
      </c>
    </row>
    <row r="459" spans="1:13" x14ac:dyDescent="0.3">
      <c r="A459" t="s">
        <v>485</v>
      </c>
      <c r="B459" t="s">
        <v>25</v>
      </c>
      <c r="C459">
        <v>3</v>
      </c>
      <c r="D459">
        <v>71.12</v>
      </c>
      <c r="E459">
        <v>443.22</v>
      </c>
      <c r="F459">
        <v>40</v>
      </c>
      <c r="G459">
        <v>1280</v>
      </c>
      <c r="H459">
        <v>4.1100000000000003</v>
      </c>
      <c r="I459">
        <v>0</v>
      </c>
      <c r="J459">
        <v>2018</v>
      </c>
      <c r="K459" t="s">
        <v>14</v>
      </c>
      <c r="L459" t="s">
        <v>15</v>
      </c>
      <c r="M459" t="str">
        <f t="shared" si="7"/>
        <v>Yes</v>
      </c>
    </row>
    <row r="460" spans="1:13" x14ac:dyDescent="0.3">
      <c r="A460" t="s">
        <v>486</v>
      </c>
      <c r="B460" t="s">
        <v>34</v>
      </c>
      <c r="C460">
        <v>2</v>
      </c>
      <c r="D460">
        <v>232.91</v>
      </c>
      <c r="E460">
        <v>2206.75</v>
      </c>
      <c r="F460">
        <v>91.02</v>
      </c>
      <c r="G460">
        <v>2748</v>
      </c>
      <c r="H460">
        <v>4.9000000000000004</v>
      </c>
      <c r="I460">
        <v>0</v>
      </c>
      <c r="J460">
        <v>2004</v>
      </c>
      <c r="K460" t="s">
        <v>18</v>
      </c>
      <c r="L460" t="s">
        <v>15</v>
      </c>
      <c r="M460" t="str">
        <f t="shared" si="7"/>
        <v>No</v>
      </c>
    </row>
    <row r="461" spans="1:13" x14ac:dyDescent="0.3">
      <c r="A461" t="s">
        <v>487</v>
      </c>
      <c r="B461" t="s">
        <v>13</v>
      </c>
      <c r="C461">
        <v>2</v>
      </c>
      <c r="D461">
        <v>121.89</v>
      </c>
      <c r="E461">
        <v>1430.42</v>
      </c>
      <c r="F461">
        <v>80.819999999999993</v>
      </c>
      <c r="G461">
        <v>2498</v>
      </c>
      <c r="H461">
        <v>0.23</v>
      </c>
      <c r="I461">
        <v>1</v>
      </c>
      <c r="J461">
        <v>2014</v>
      </c>
      <c r="K461" t="s">
        <v>41</v>
      </c>
      <c r="L461" t="s">
        <v>15</v>
      </c>
      <c r="M461" t="str">
        <f t="shared" si="7"/>
        <v>Yes</v>
      </c>
    </row>
    <row r="462" spans="1:13" x14ac:dyDescent="0.3">
      <c r="A462" t="s">
        <v>488</v>
      </c>
      <c r="B462" t="s">
        <v>25</v>
      </c>
      <c r="C462">
        <v>3</v>
      </c>
      <c r="D462">
        <v>180.76</v>
      </c>
      <c r="E462">
        <v>776.42</v>
      </c>
      <c r="F462">
        <v>21.68</v>
      </c>
      <c r="G462">
        <v>361</v>
      </c>
      <c r="H462">
        <v>4.16</v>
      </c>
      <c r="I462">
        <v>0</v>
      </c>
      <c r="J462">
        <v>2012</v>
      </c>
      <c r="K462" t="s">
        <v>28</v>
      </c>
      <c r="L462" t="s">
        <v>23</v>
      </c>
      <c r="M462" t="str">
        <f t="shared" si="7"/>
        <v>Yes</v>
      </c>
    </row>
    <row r="463" spans="1:13" x14ac:dyDescent="0.3">
      <c r="A463" t="s">
        <v>489</v>
      </c>
      <c r="B463" t="s">
        <v>25</v>
      </c>
      <c r="C463">
        <v>2</v>
      </c>
      <c r="D463">
        <v>189.95</v>
      </c>
      <c r="E463">
        <v>2131.92</v>
      </c>
      <c r="F463">
        <v>46.71</v>
      </c>
      <c r="G463">
        <v>874</v>
      </c>
      <c r="H463">
        <v>6.51</v>
      </c>
      <c r="I463">
        <v>0</v>
      </c>
      <c r="J463">
        <v>2014</v>
      </c>
      <c r="K463" t="s">
        <v>32</v>
      </c>
      <c r="L463" t="s">
        <v>15</v>
      </c>
      <c r="M463" t="str">
        <f t="shared" si="7"/>
        <v>Yes</v>
      </c>
    </row>
    <row r="464" spans="1:13" x14ac:dyDescent="0.3">
      <c r="A464" t="s">
        <v>490</v>
      </c>
      <c r="B464" t="s">
        <v>39</v>
      </c>
      <c r="C464">
        <v>4</v>
      </c>
      <c r="D464">
        <v>112.17</v>
      </c>
      <c r="E464">
        <v>460.17</v>
      </c>
      <c r="F464">
        <v>81.69</v>
      </c>
      <c r="G464">
        <v>890</v>
      </c>
      <c r="H464">
        <v>0.25</v>
      </c>
      <c r="I464">
        <v>0</v>
      </c>
      <c r="J464">
        <v>1996</v>
      </c>
      <c r="K464" t="s">
        <v>14</v>
      </c>
      <c r="L464" t="s">
        <v>15</v>
      </c>
      <c r="M464" t="str">
        <f t="shared" si="7"/>
        <v>No</v>
      </c>
    </row>
    <row r="465" spans="1:13" x14ac:dyDescent="0.3">
      <c r="A465" t="s">
        <v>491</v>
      </c>
      <c r="B465" t="s">
        <v>13</v>
      </c>
      <c r="C465">
        <v>1</v>
      </c>
      <c r="D465">
        <v>154.03</v>
      </c>
      <c r="E465">
        <v>2246</v>
      </c>
      <c r="F465">
        <v>6.83</v>
      </c>
      <c r="G465">
        <v>2006</v>
      </c>
      <c r="H465">
        <v>2.88</v>
      </c>
      <c r="I465">
        <v>0</v>
      </c>
      <c r="J465">
        <v>2011</v>
      </c>
      <c r="K465" t="s">
        <v>28</v>
      </c>
      <c r="L465" t="s">
        <v>15</v>
      </c>
      <c r="M465" t="str">
        <f t="shared" si="7"/>
        <v>Yes</v>
      </c>
    </row>
    <row r="466" spans="1:13" x14ac:dyDescent="0.3">
      <c r="A466" t="s">
        <v>492</v>
      </c>
      <c r="B466" t="s">
        <v>13</v>
      </c>
      <c r="C466">
        <v>4</v>
      </c>
      <c r="D466">
        <v>124.2</v>
      </c>
      <c r="E466">
        <v>1100.5</v>
      </c>
      <c r="F466">
        <v>38.799999999999997</v>
      </c>
      <c r="G466">
        <v>1288</v>
      </c>
      <c r="H466">
        <v>2.16</v>
      </c>
      <c r="I466">
        <v>0</v>
      </c>
      <c r="J466">
        <v>2006</v>
      </c>
      <c r="K466" t="s">
        <v>18</v>
      </c>
      <c r="L466" t="s">
        <v>15</v>
      </c>
      <c r="M466" t="str">
        <f t="shared" si="7"/>
        <v>No</v>
      </c>
    </row>
    <row r="467" spans="1:13" x14ac:dyDescent="0.3">
      <c r="A467" t="s">
        <v>493</v>
      </c>
      <c r="B467" t="s">
        <v>25</v>
      </c>
      <c r="C467">
        <v>2</v>
      </c>
      <c r="D467">
        <v>21.21</v>
      </c>
      <c r="E467">
        <v>101.98</v>
      </c>
      <c r="F467">
        <v>85.2</v>
      </c>
      <c r="G467">
        <v>624</v>
      </c>
      <c r="H467">
        <v>0.52</v>
      </c>
      <c r="I467">
        <v>0</v>
      </c>
      <c r="J467">
        <v>2007</v>
      </c>
      <c r="K467" t="s">
        <v>32</v>
      </c>
      <c r="L467" t="s">
        <v>23</v>
      </c>
      <c r="M467" t="str">
        <f t="shared" si="7"/>
        <v>No</v>
      </c>
    </row>
    <row r="468" spans="1:13" x14ac:dyDescent="0.3">
      <c r="A468" t="s">
        <v>494</v>
      </c>
      <c r="B468" t="s">
        <v>17</v>
      </c>
      <c r="C468">
        <v>5</v>
      </c>
      <c r="D468">
        <v>131.43</v>
      </c>
      <c r="E468">
        <v>934.28</v>
      </c>
      <c r="F468">
        <v>40.450000000000003</v>
      </c>
      <c r="G468">
        <v>887</v>
      </c>
      <c r="H468">
        <v>4.84</v>
      </c>
      <c r="I468">
        <v>1</v>
      </c>
      <c r="J468">
        <v>1999</v>
      </c>
      <c r="K468" t="s">
        <v>28</v>
      </c>
      <c r="L468" t="s">
        <v>15</v>
      </c>
      <c r="M468" t="str">
        <f t="shared" si="7"/>
        <v>No</v>
      </c>
    </row>
    <row r="469" spans="1:13" x14ac:dyDescent="0.3">
      <c r="A469" t="s">
        <v>495</v>
      </c>
      <c r="B469" t="s">
        <v>39</v>
      </c>
      <c r="C469">
        <v>1</v>
      </c>
      <c r="D469">
        <v>29.67</v>
      </c>
      <c r="E469">
        <v>236.2</v>
      </c>
      <c r="F469">
        <v>7.85</v>
      </c>
      <c r="G469">
        <v>801</v>
      </c>
      <c r="H469">
        <v>1.9</v>
      </c>
      <c r="I469">
        <v>1</v>
      </c>
      <c r="J469">
        <v>1999</v>
      </c>
      <c r="K469" t="s">
        <v>32</v>
      </c>
      <c r="L469" t="s">
        <v>15</v>
      </c>
      <c r="M469" t="str">
        <f t="shared" si="7"/>
        <v>No</v>
      </c>
    </row>
    <row r="470" spans="1:13" x14ac:dyDescent="0.3">
      <c r="A470" t="s">
        <v>496</v>
      </c>
      <c r="B470" t="s">
        <v>39</v>
      </c>
      <c r="C470">
        <v>1</v>
      </c>
      <c r="D470">
        <v>121.8</v>
      </c>
      <c r="E470">
        <v>1473.56</v>
      </c>
      <c r="F470">
        <v>54.3</v>
      </c>
      <c r="G470">
        <v>3647</v>
      </c>
      <c r="H470">
        <v>7.46</v>
      </c>
      <c r="I470">
        <v>1</v>
      </c>
      <c r="J470">
        <v>1996</v>
      </c>
      <c r="K470" t="s">
        <v>14</v>
      </c>
      <c r="L470" t="s">
        <v>15</v>
      </c>
      <c r="M470" t="str">
        <f t="shared" si="7"/>
        <v>No</v>
      </c>
    </row>
    <row r="471" spans="1:13" x14ac:dyDescent="0.3">
      <c r="A471" t="s">
        <v>497</v>
      </c>
      <c r="B471" t="s">
        <v>30</v>
      </c>
      <c r="C471">
        <v>3</v>
      </c>
      <c r="D471">
        <v>178.08</v>
      </c>
      <c r="E471">
        <v>2122.91</v>
      </c>
      <c r="F471">
        <v>86.19</v>
      </c>
      <c r="G471">
        <v>3430</v>
      </c>
      <c r="H471">
        <v>8.49</v>
      </c>
      <c r="I471">
        <v>1</v>
      </c>
      <c r="J471">
        <v>2016</v>
      </c>
      <c r="K471" t="s">
        <v>18</v>
      </c>
      <c r="L471" t="s">
        <v>15</v>
      </c>
      <c r="M471" t="str">
        <f t="shared" si="7"/>
        <v>Yes</v>
      </c>
    </row>
    <row r="472" spans="1:13" x14ac:dyDescent="0.3">
      <c r="A472" t="s">
        <v>498</v>
      </c>
      <c r="B472" t="s">
        <v>21</v>
      </c>
      <c r="C472">
        <v>3</v>
      </c>
      <c r="D472">
        <v>174.03</v>
      </c>
      <c r="E472">
        <v>1800.04</v>
      </c>
      <c r="F472">
        <v>59.07</v>
      </c>
      <c r="G472">
        <v>1301</v>
      </c>
      <c r="H472">
        <v>5.5</v>
      </c>
      <c r="I472">
        <v>1</v>
      </c>
      <c r="J472">
        <v>2022</v>
      </c>
      <c r="K472" t="s">
        <v>32</v>
      </c>
      <c r="L472" t="s">
        <v>15</v>
      </c>
      <c r="M472" t="str">
        <f t="shared" si="7"/>
        <v>Yes</v>
      </c>
    </row>
    <row r="473" spans="1:13" x14ac:dyDescent="0.3">
      <c r="A473" t="s">
        <v>499</v>
      </c>
      <c r="B473" t="s">
        <v>13</v>
      </c>
      <c r="C473">
        <v>5</v>
      </c>
      <c r="D473">
        <v>198.96</v>
      </c>
      <c r="E473">
        <v>849.79</v>
      </c>
      <c r="F473">
        <v>22.71</v>
      </c>
      <c r="G473">
        <v>4719</v>
      </c>
      <c r="H473">
        <v>9.82</v>
      </c>
      <c r="I473">
        <v>0</v>
      </c>
      <c r="J473">
        <v>1990</v>
      </c>
      <c r="K473" t="s">
        <v>28</v>
      </c>
      <c r="L473" t="s">
        <v>15</v>
      </c>
      <c r="M473" t="str">
        <f t="shared" si="7"/>
        <v>No</v>
      </c>
    </row>
    <row r="474" spans="1:13" x14ac:dyDescent="0.3">
      <c r="A474" t="s">
        <v>500</v>
      </c>
      <c r="B474" t="s">
        <v>25</v>
      </c>
      <c r="C474">
        <v>1</v>
      </c>
      <c r="D474">
        <v>29.03</v>
      </c>
      <c r="E474">
        <v>139.88999999999999</v>
      </c>
      <c r="F474">
        <v>38.49</v>
      </c>
      <c r="G474">
        <v>249</v>
      </c>
      <c r="H474">
        <v>4.5599999999999996</v>
      </c>
      <c r="I474">
        <v>1</v>
      </c>
      <c r="J474">
        <v>1993</v>
      </c>
      <c r="K474" t="s">
        <v>14</v>
      </c>
      <c r="L474" t="s">
        <v>26</v>
      </c>
      <c r="M474" t="str">
        <f t="shared" si="7"/>
        <v>No</v>
      </c>
    </row>
    <row r="475" spans="1:13" x14ac:dyDescent="0.3">
      <c r="A475" t="s">
        <v>501</v>
      </c>
      <c r="B475" t="s">
        <v>30</v>
      </c>
      <c r="C475">
        <v>5</v>
      </c>
      <c r="D475">
        <v>195.81</v>
      </c>
      <c r="E475">
        <v>807.73</v>
      </c>
      <c r="F475">
        <v>45.07</v>
      </c>
      <c r="G475">
        <v>2900</v>
      </c>
      <c r="H475">
        <v>5.18</v>
      </c>
      <c r="I475">
        <v>1</v>
      </c>
      <c r="J475">
        <v>2006</v>
      </c>
      <c r="K475" t="s">
        <v>14</v>
      </c>
      <c r="L475" t="s">
        <v>15</v>
      </c>
      <c r="M475" t="str">
        <f t="shared" si="7"/>
        <v>No</v>
      </c>
    </row>
    <row r="476" spans="1:13" x14ac:dyDescent="0.3">
      <c r="A476" t="s">
        <v>502</v>
      </c>
      <c r="B476" t="s">
        <v>75</v>
      </c>
      <c r="C476">
        <v>3</v>
      </c>
      <c r="D476">
        <v>93.99</v>
      </c>
      <c r="E476">
        <v>932.95</v>
      </c>
      <c r="F476">
        <v>57.97</v>
      </c>
      <c r="G476">
        <v>934</v>
      </c>
      <c r="H476">
        <v>9.89</v>
      </c>
      <c r="I476">
        <v>1</v>
      </c>
      <c r="J476">
        <v>1993</v>
      </c>
      <c r="K476" t="s">
        <v>28</v>
      </c>
      <c r="L476" t="s">
        <v>15</v>
      </c>
      <c r="M476" t="str">
        <f t="shared" si="7"/>
        <v>No</v>
      </c>
    </row>
    <row r="477" spans="1:13" x14ac:dyDescent="0.3">
      <c r="A477" t="s">
        <v>503</v>
      </c>
      <c r="B477" t="s">
        <v>34</v>
      </c>
      <c r="C477">
        <v>3</v>
      </c>
      <c r="D477">
        <v>120.01</v>
      </c>
      <c r="E477">
        <v>1623.21</v>
      </c>
      <c r="F477">
        <v>75.959999999999994</v>
      </c>
      <c r="G477">
        <v>524</v>
      </c>
      <c r="H477">
        <v>2.39</v>
      </c>
      <c r="I477">
        <v>0</v>
      </c>
      <c r="J477">
        <v>2015</v>
      </c>
      <c r="K477" t="s">
        <v>28</v>
      </c>
      <c r="L477" t="s">
        <v>15</v>
      </c>
      <c r="M477" t="str">
        <f t="shared" si="7"/>
        <v>Yes</v>
      </c>
    </row>
    <row r="478" spans="1:13" x14ac:dyDescent="0.3">
      <c r="A478" t="s">
        <v>504</v>
      </c>
      <c r="B478" t="s">
        <v>21</v>
      </c>
      <c r="C478">
        <v>1</v>
      </c>
      <c r="D478">
        <v>257.47000000000003</v>
      </c>
      <c r="E478">
        <v>2112.6999999999998</v>
      </c>
      <c r="F478">
        <v>9.98</v>
      </c>
      <c r="G478">
        <v>3217</v>
      </c>
      <c r="H478">
        <v>9.43</v>
      </c>
      <c r="I478">
        <v>0</v>
      </c>
      <c r="J478">
        <v>1993</v>
      </c>
      <c r="K478" t="s">
        <v>32</v>
      </c>
      <c r="L478" t="s">
        <v>15</v>
      </c>
      <c r="M478" t="str">
        <f t="shared" si="7"/>
        <v>No</v>
      </c>
    </row>
    <row r="479" spans="1:13" x14ac:dyDescent="0.3">
      <c r="A479" t="s">
        <v>505</v>
      </c>
      <c r="B479" t="s">
        <v>21</v>
      </c>
      <c r="C479">
        <v>4</v>
      </c>
      <c r="D479">
        <v>3.2</v>
      </c>
      <c r="E479">
        <v>15.78</v>
      </c>
      <c r="F479">
        <v>88.98</v>
      </c>
      <c r="G479">
        <v>2414</v>
      </c>
      <c r="H479">
        <v>0.52</v>
      </c>
      <c r="I479">
        <v>0</v>
      </c>
      <c r="J479">
        <v>1990</v>
      </c>
      <c r="K479" t="s">
        <v>41</v>
      </c>
      <c r="L479" t="s">
        <v>26</v>
      </c>
      <c r="M479" t="str">
        <f t="shared" si="7"/>
        <v>No</v>
      </c>
    </row>
    <row r="480" spans="1:13" x14ac:dyDescent="0.3">
      <c r="A480" t="s">
        <v>506</v>
      </c>
      <c r="B480" t="s">
        <v>21</v>
      </c>
      <c r="C480">
        <v>2</v>
      </c>
      <c r="D480">
        <v>176.73</v>
      </c>
      <c r="E480">
        <v>1713.66</v>
      </c>
      <c r="F480">
        <v>1.33</v>
      </c>
      <c r="G480">
        <v>12</v>
      </c>
      <c r="H480">
        <v>4.5199999999999996</v>
      </c>
      <c r="I480">
        <v>1</v>
      </c>
      <c r="J480">
        <v>1996</v>
      </c>
      <c r="K480" t="s">
        <v>14</v>
      </c>
      <c r="L480" t="s">
        <v>15</v>
      </c>
      <c r="M480" t="str">
        <f t="shared" si="7"/>
        <v>No</v>
      </c>
    </row>
    <row r="481" spans="1:13" x14ac:dyDescent="0.3">
      <c r="A481" t="s">
        <v>507</v>
      </c>
      <c r="B481" t="s">
        <v>39</v>
      </c>
      <c r="C481">
        <v>3</v>
      </c>
      <c r="D481">
        <v>179.81</v>
      </c>
      <c r="E481">
        <v>2290.96</v>
      </c>
      <c r="F481">
        <v>37.07</v>
      </c>
      <c r="G481">
        <v>2530</v>
      </c>
      <c r="H481">
        <v>0.79</v>
      </c>
      <c r="I481">
        <v>0</v>
      </c>
      <c r="J481">
        <v>2019</v>
      </c>
      <c r="K481" t="s">
        <v>32</v>
      </c>
      <c r="L481" t="s">
        <v>15</v>
      </c>
      <c r="M481" t="str">
        <f t="shared" si="7"/>
        <v>Yes</v>
      </c>
    </row>
    <row r="482" spans="1:13" x14ac:dyDescent="0.3">
      <c r="A482" t="s">
        <v>508</v>
      </c>
      <c r="B482" t="s">
        <v>75</v>
      </c>
      <c r="C482">
        <v>3</v>
      </c>
      <c r="D482">
        <v>119.3</v>
      </c>
      <c r="E482">
        <v>1419.73</v>
      </c>
      <c r="F482">
        <v>2.84</v>
      </c>
      <c r="G482">
        <v>3428</v>
      </c>
      <c r="H482">
        <v>7.32</v>
      </c>
      <c r="I482">
        <v>1</v>
      </c>
      <c r="J482">
        <v>1998</v>
      </c>
      <c r="K482" t="s">
        <v>28</v>
      </c>
      <c r="L482" t="s">
        <v>23</v>
      </c>
      <c r="M482" t="str">
        <f t="shared" si="7"/>
        <v>No</v>
      </c>
    </row>
    <row r="483" spans="1:13" x14ac:dyDescent="0.3">
      <c r="A483" t="s">
        <v>509</v>
      </c>
      <c r="B483" t="s">
        <v>21</v>
      </c>
      <c r="C483">
        <v>4</v>
      </c>
      <c r="D483">
        <v>71.489999999999995</v>
      </c>
      <c r="E483">
        <v>970.65</v>
      </c>
      <c r="F483">
        <v>39.36</v>
      </c>
      <c r="G483">
        <v>2024</v>
      </c>
      <c r="H483">
        <v>6.12</v>
      </c>
      <c r="I483">
        <v>0</v>
      </c>
      <c r="J483">
        <v>1997</v>
      </c>
      <c r="K483" t="s">
        <v>32</v>
      </c>
      <c r="L483" t="s">
        <v>15</v>
      </c>
      <c r="M483" t="str">
        <f t="shared" si="7"/>
        <v>No</v>
      </c>
    </row>
    <row r="484" spans="1:13" x14ac:dyDescent="0.3">
      <c r="A484" t="s">
        <v>510</v>
      </c>
      <c r="B484" t="s">
        <v>75</v>
      </c>
      <c r="C484">
        <v>4</v>
      </c>
      <c r="D484">
        <v>70.78</v>
      </c>
      <c r="E484">
        <v>448.38</v>
      </c>
      <c r="F484">
        <v>52.63</v>
      </c>
      <c r="G484">
        <v>4595</v>
      </c>
      <c r="H484">
        <v>7.1</v>
      </c>
      <c r="I484">
        <v>0</v>
      </c>
      <c r="J484">
        <v>2013</v>
      </c>
      <c r="K484" t="s">
        <v>28</v>
      </c>
      <c r="L484" t="s">
        <v>26</v>
      </c>
      <c r="M484" t="str">
        <f t="shared" si="7"/>
        <v>Yes</v>
      </c>
    </row>
    <row r="485" spans="1:13" x14ac:dyDescent="0.3">
      <c r="A485" t="s">
        <v>511</v>
      </c>
      <c r="B485" t="s">
        <v>17</v>
      </c>
      <c r="C485">
        <v>5</v>
      </c>
      <c r="D485">
        <v>265.17</v>
      </c>
      <c r="E485">
        <v>1412.68</v>
      </c>
      <c r="F485">
        <v>51.22</v>
      </c>
      <c r="G485">
        <v>4287</v>
      </c>
      <c r="H485">
        <v>3.81</v>
      </c>
      <c r="I485">
        <v>0</v>
      </c>
      <c r="J485">
        <v>2008</v>
      </c>
      <c r="K485" t="s">
        <v>18</v>
      </c>
      <c r="L485" t="s">
        <v>15</v>
      </c>
      <c r="M485" t="str">
        <f t="shared" si="7"/>
        <v>No</v>
      </c>
    </row>
    <row r="486" spans="1:13" x14ac:dyDescent="0.3">
      <c r="A486" t="s">
        <v>512</v>
      </c>
      <c r="B486" t="s">
        <v>21</v>
      </c>
      <c r="C486">
        <v>5</v>
      </c>
      <c r="D486">
        <v>132.88999999999999</v>
      </c>
      <c r="E486">
        <v>1801.7</v>
      </c>
      <c r="F486">
        <v>16.649999999999999</v>
      </c>
      <c r="G486">
        <v>3672</v>
      </c>
      <c r="H486">
        <v>3.76</v>
      </c>
      <c r="I486">
        <v>0</v>
      </c>
      <c r="J486">
        <v>2016</v>
      </c>
      <c r="K486" t="s">
        <v>28</v>
      </c>
      <c r="L486" t="s">
        <v>15</v>
      </c>
      <c r="M486" t="str">
        <f t="shared" si="7"/>
        <v>Yes</v>
      </c>
    </row>
    <row r="487" spans="1:13" x14ac:dyDescent="0.3">
      <c r="A487" t="s">
        <v>513</v>
      </c>
      <c r="B487" t="s">
        <v>34</v>
      </c>
      <c r="C487">
        <v>2</v>
      </c>
      <c r="D487">
        <v>99.6</v>
      </c>
      <c r="E487">
        <v>1084.72</v>
      </c>
      <c r="F487">
        <v>64.61</v>
      </c>
      <c r="G487">
        <v>3676</v>
      </c>
      <c r="H487">
        <v>0.55000000000000004</v>
      </c>
      <c r="I487">
        <v>0</v>
      </c>
      <c r="J487">
        <v>2021</v>
      </c>
      <c r="K487" t="s">
        <v>28</v>
      </c>
      <c r="L487" t="s">
        <v>15</v>
      </c>
      <c r="M487" t="str">
        <f t="shared" si="7"/>
        <v>Yes</v>
      </c>
    </row>
    <row r="488" spans="1:13" x14ac:dyDescent="0.3">
      <c r="A488" t="s">
        <v>514</v>
      </c>
      <c r="B488" t="s">
        <v>75</v>
      </c>
      <c r="C488">
        <v>2</v>
      </c>
      <c r="D488">
        <v>134.91</v>
      </c>
      <c r="E488">
        <v>908.1</v>
      </c>
      <c r="F488">
        <v>4.57</v>
      </c>
      <c r="G488">
        <v>2806</v>
      </c>
      <c r="H488">
        <v>3.56</v>
      </c>
      <c r="I488">
        <v>0</v>
      </c>
      <c r="J488">
        <v>2003</v>
      </c>
      <c r="K488" t="s">
        <v>28</v>
      </c>
      <c r="L488" t="s">
        <v>15</v>
      </c>
      <c r="M488" t="str">
        <f t="shared" si="7"/>
        <v>No</v>
      </c>
    </row>
    <row r="489" spans="1:13" x14ac:dyDescent="0.3">
      <c r="A489" t="s">
        <v>515</v>
      </c>
      <c r="B489" t="s">
        <v>75</v>
      </c>
      <c r="C489">
        <v>1</v>
      </c>
      <c r="D489">
        <v>200.98</v>
      </c>
      <c r="E489">
        <v>2393.31</v>
      </c>
      <c r="F489">
        <v>76.209999999999994</v>
      </c>
      <c r="G489">
        <v>90</v>
      </c>
      <c r="H489">
        <v>9.3000000000000007</v>
      </c>
      <c r="I489">
        <v>1</v>
      </c>
      <c r="J489">
        <v>2007</v>
      </c>
      <c r="K489" t="s">
        <v>41</v>
      </c>
      <c r="L489" t="s">
        <v>15</v>
      </c>
      <c r="M489" t="str">
        <f t="shared" si="7"/>
        <v>No</v>
      </c>
    </row>
    <row r="490" spans="1:13" x14ac:dyDescent="0.3">
      <c r="A490" t="s">
        <v>516</v>
      </c>
      <c r="B490" t="s">
        <v>34</v>
      </c>
      <c r="C490">
        <v>5</v>
      </c>
      <c r="D490">
        <v>44.15</v>
      </c>
      <c r="E490">
        <v>564.29999999999995</v>
      </c>
      <c r="F490">
        <v>94.67</v>
      </c>
      <c r="G490">
        <v>3120</v>
      </c>
      <c r="H490">
        <v>3.85</v>
      </c>
      <c r="I490">
        <v>0</v>
      </c>
      <c r="J490">
        <v>2017</v>
      </c>
      <c r="K490" t="s">
        <v>28</v>
      </c>
      <c r="L490" t="s">
        <v>15</v>
      </c>
      <c r="M490" t="str">
        <f t="shared" si="7"/>
        <v>Yes</v>
      </c>
    </row>
    <row r="491" spans="1:13" x14ac:dyDescent="0.3">
      <c r="A491" t="s">
        <v>517</v>
      </c>
      <c r="B491" t="s">
        <v>21</v>
      </c>
      <c r="C491">
        <v>3</v>
      </c>
      <c r="D491">
        <v>135.11000000000001</v>
      </c>
      <c r="E491">
        <v>1402.41</v>
      </c>
      <c r="F491">
        <v>34.04</v>
      </c>
      <c r="G491">
        <v>4237</v>
      </c>
      <c r="H491">
        <v>8.33</v>
      </c>
      <c r="I491">
        <v>0</v>
      </c>
      <c r="J491">
        <v>2018</v>
      </c>
      <c r="K491" t="s">
        <v>14</v>
      </c>
      <c r="L491" t="s">
        <v>15</v>
      </c>
      <c r="M491" t="str">
        <f t="shared" si="7"/>
        <v>Yes</v>
      </c>
    </row>
    <row r="492" spans="1:13" x14ac:dyDescent="0.3">
      <c r="A492" t="s">
        <v>518</v>
      </c>
      <c r="B492" t="s">
        <v>34</v>
      </c>
      <c r="C492">
        <v>5</v>
      </c>
      <c r="D492">
        <v>176.57</v>
      </c>
      <c r="E492">
        <v>1987.23</v>
      </c>
      <c r="F492">
        <v>51.77</v>
      </c>
      <c r="G492">
        <v>2473</v>
      </c>
      <c r="H492">
        <v>8.44</v>
      </c>
      <c r="I492">
        <v>1</v>
      </c>
      <c r="J492">
        <v>2005</v>
      </c>
      <c r="K492" t="s">
        <v>14</v>
      </c>
      <c r="L492" t="s">
        <v>15</v>
      </c>
      <c r="M492" t="str">
        <f t="shared" si="7"/>
        <v>No</v>
      </c>
    </row>
    <row r="493" spans="1:13" x14ac:dyDescent="0.3">
      <c r="A493" t="s">
        <v>519</v>
      </c>
      <c r="B493" t="s">
        <v>75</v>
      </c>
      <c r="C493">
        <v>3</v>
      </c>
      <c r="D493">
        <v>284.60000000000002</v>
      </c>
      <c r="E493">
        <v>2135.39</v>
      </c>
      <c r="F493">
        <v>37.950000000000003</v>
      </c>
      <c r="G493">
        <v>3624</v>
      </c>
      <c r="H493">
        <v>3.8</v>
      </c>
      <c r="I493">
        <v>1</v>
      </c>
      <c r="J493">
        <v>2020</v>
      </c>
      <c r="K493" t="s">
        <v>32</v>
      </c>
      <c r="L493" t="s">
        <v>15</v>
      </c>
      <c r="M493" t="str">
        <f t="shared" si="7"/>
        <v>Yes</v>
      </c>
    </row>
    <row r="494" spans="1:13" x14ac:dyDescent="0.3">
      <c r="A494" t="s">
        <v>520</v>
      </c>
      <c r="B494" t="s">
        <v>34</v>
      </c>
      <c r="C494">
        <v>4</v>
      </c>
      <c r="D494">
        <v>76.13</v>
      </c>
      <c r="E494">
        <v>720.52</v>
      </c>
      <c r="F494">
        <v>0.77</v>
      </c>
      <c r="G494">
        <v>1641</v>
      </c>
      <c r="H494">
        <v>6.36</v>
      </c>
      <c r="I494">
        <v>1</v>
      </c>
      <c r="J494">
        <v>1993</v>
      </c>
      <c r="K494" t="s">
        <v>41</v>
      </c>
      <c r="L494" t="s">
        <v>23</v>
      </c>
      <c r="M494" t="str">
        <f t="shared" si="7"/>
        <v>No</v>
      </c>
    </row>
    <row r="495" spans="1:13" x14ac:dyDescent="0.3">
      <c r="A495" t="s">
        <v>521</v>
      </c>
      <c r="B495" t="s">
        <v>75</v>
      </c>
      <c r="C495">
        <v>5</v>
      </c>
      <c r="D495">
        <v>108.1</v>
      </c>
      <c r="E495">
        <v>1004.24</v>
      </c>
      <c r="F495">
        <v>38.65</v>
      </c>
      <c r="G495">
        <v>3588</v>
      </c>
      <c r="H495">
        <v>1.04</v>
      </c>
      <c r="I495">
        <v>0</v>
      </c>
      <c r="J495">
        <v>2006</v>
      </c>
      <c r="K495" t="s">
        <v>32</v>
      </c>
      <c r="L495" t="s">
        <v>15</v>
      </c>
      <c r="M495" t="str">
        <f t="shared" si="7"/>
        <v>No</v>
      </c>
    </row>
    <row r="496" spans="1:13" x14ac:dyDescent="0.3">
      <c r="A496" t="s">
        <v>522</v>
      </c>
      <c r="B496" t="s">
        <v>75</v>
      </c>
      <c r="C496">
        <v>4</v>
      </c>
      <c r="D496">
        <v>114.12</v>
      </c>
      <c r="E496">
        <v>1503.71</v>
      </c>
      <c r="F496">
        <v>79.19</v>
      </c>
      <c r="G496">
        <v>4014</v>
      </c>
      <c r="H496">
        <v>1.1299999999999999</v>
      </c>
      <c r="I496">
        <v>1</v>
      </c>
      <c r="J496">
        <v>2015</v>
      </c>
      <c r="K496" t="s">
        <v>14</v>
      </c>
      <c r="L496" t="s">
        <v>26</v>
      </c>
      <c r="M496" t="str">
        <f t="shared" si="7"/>
        <v>Yes</v>
      </c>
    </row>
    <row r="497" spans="1:13" x14ac:dyDescent="0.3">
      <c r="A497" t="s">
        <v>523</v>
      </c>
      <c r="B497" t="s">
        <v>17</v>
      </c>
      <c r="C497">
        <v>2</v>
      </c>
      <c r="D497">
        <v>181.86</v>
      </c>
      <c r="E497">
        <v>2378.65</v>
      </c>
      <c r="F497">
        <v>59.64</v>
      </c>
      <c r="G497">
        <v>3331</v>
      </c>
      <c r="H497">
        <v>0.57999999999999996</v>
      </c>
      <c r="I497">
        <v>1</v>
      </c>
      <c r="J497">
        <v>1993</v>
      </c>
      <c r="K497" t="s">
        <v>14</v>
      </c>
      <c r="L497" t="s">
        <v>15</v>
      </c>
      <c r="M497" t="str">
        <f t="shared" si="7"/>
        <v>No</v>
      </c>
    </row>
    <row r="498" spans="1:13" x14ac:dyDescent="0.3">
      <c r="A498" t="s">
        <v>524</v>
      </c>
      <c r="B498" t="s">
        <v>25</v>
      </c>
      <c r="C498">
        <v>2</v>
      </c>
      <c r="D498">
        <v>107.34</v>
      </c>
      <c r="E498">
        <v>1394.58</v>
      </c>
      <c r="F498">
        <v>10.220000000000001</v>
      </c>
      <c r="G498">
        <v>2223</v>
      </c>
      <c r="H498">
        <v>5.85</v>
      </c>
      <c r="I498">
        <v>0</v>
      </c>
      <c r="J498">
        <v>2019</v>
      </c>
      <c r="K498" t="s">
        <v>18</v>
      </c>
      <c r="L498" t="s">
        <v>15</v>
      </c>
      <c r="M498" t="str">
        <f t="shared" si="7"/>
        <v>Yes</v>
      </c>
    </row>
    <row r="499" spans="1:13" x14ac:dyDescent="0.3">
      <c r="A499" t="s">
        <v>525</v>
      </c>
      <c r="B499" t="s">
        <v>75</v>
      </c>
      <c r="C499">
        <v>1</v>
      </c>
      <c r="D499">
        <v>160.29</v>
      </c>
      <c r="E499">
        <v>502.09</v>
      </c>
      <c r="F499">
        <v>84.73</v>
      </c>
      <c r="G499">
        <v>2222</v>
      </c>
      <c r="H499">
        <v>4.32</v>
      </c>
      <c r="I499">
        <v>0</v>
      </c>
      <c r="J499">
        <v>2019</v>
      </c>
      <c r="K499" t="s">
        <v>28</v>
      </c>
      <c r="L499" t="s">
        <v>15</v>
      </c>
      <c r="M499" t="str">
        <f t="shared" si="7"/>
        <v>Yes</v>
      </c>
    </row>
    <row r="500" spans="1:13" x14ac:dyDescent="0.3">
      <c r="A500" t="s">
        <v>526</v>
      </c>
      <c r="B500" t="s">
        <v>21</v>
      </c>
      <c r="C500">
        <v>5</v>
      </c>
      <c r="D500">
        <v>234.65</v>
      </c>
      <c r="E500">
        <v>2814.52</v>
      </c>
      <c r="F500">
        <v>53.16</v>
      </c>
      <c r="G500">
        <v>4972</v>
      </c>
      <c r="H500">
        <v>5.53</v>
      </c>
      <c r="I500">
        <v>0</v>
      </c>
      <c r="J500">
        <v>2011</v>
      </c>
      <c r="K500" t="s">
        <v>14</v>
      </c>
      <c r="L500" t="s">
        <v>15</v>
      </c>
      <c r="M500" t="str">
        <f t="shared" si="7"/>
        <v>Yes</v>
      </c>
    </row>
    <row r="501" spans="1:13" x14ac:dyDescent="0.3">
      <c r="A501" t="s">
        <v>527</v>
      </c>
      <c r="B501" t="s">
        <v>30</v>
      </c>
      <c r="C501">
        <v>4</v>
      </c>
      <c r="D501">
        <v>211.76</v>
      </c>
      <c r="E501">
        <v>2563.17</v>
      </c>
      <c r="F501">
        <v>84.19</v>
      </c>
      <c r="G501">
        <v>2374</v>
      </c>
      <c r="H501">
        <v>5.26</v>
      </c>
      <c r="I501">
        <v>0</v>
      </c>
      <c r="J501">
        <v>2000</v>
      </c>
      <c r="K501" t="s">
        <v>32</v>
      </c>
      <c r="L501" t="s">
        <v>15</v>
      </c>
      <c r="M501" t="str">
        <f t="shared" si="7"/>
        <v>No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F2F9-D3ED-4771-8120-1BA0D3B540AB}">
  <dimension ref="A1:O501"/>
  <sheetViews>
    <sheetView workbookViewId="0">
      <selection activeCell="J17" sqref="J17"/>
    </sheetView>
  </sheetViews>
  <sheetFormatPr defaultRowHeight="14.4" x14ac:dyDescent="0.3"/>
  <cols>
    <col min="14" max="14" width="23.44140625" bestFit="1" customWidth="1"/>
    <col min="15" max="15" width="24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549</v>
      </c>
      <c r="N1" t="s">
        <v>560</v>
      </c>
      <c r="O1" t="s">
        <v>561</v>
      </c>
    </row>
    <row r="2" spans="1:15" x14ac:dyDescent="0.3">
      <c r="A2" t="s">
        <v>170</v>
      </c>
      <c r="B2" t="s">
        <v>21</v>
      </c>
      <c r="C2">
        <v>2</v>
      </c>
      <c r="D2">
        <v>0.56999999999999995</v>
      </c>
      <c r="E2">
        <v>2.48</v>
      </c>
      <c r="F2">
        <v>22.69</v>
      </c>
      <c r="G2">
        <v>4226</v>
      </c>
      <c r="H2">
        <v>4.41</v>
      </c>
      <c r="I2">
        <v>0</v>
      </c>
      <c r="J2">
        <v>1993</v>
      </c>
      <c r="K2" t="s">
        <v>18</v>
      </c>
      <c r="L2" t="s">
        <v>15</v>
      </c>
      <c r="M2" t="str">
        <f>IF(J2&gt;2010,"Yes","No")</f>
        <v>No</v>
      </c>
      <c r="N2">
        <f>F2/D2</f>
        <v>39.807017543859658</v>
      </c>
      <c r="O2">
        <f>E2/D2</f>
        <v>4.3508771929824563</v>
      </c>
    </row>
    <row r="3" spans="1:15" x14ac:dyDescent="0.3">
      <c r="A3" t="s">
        <v>327</v>
      </c>
      <c r="B3" t="s">
        <v>30</v>
      </c>
      <c r="C3">
        <v>3</v>
      </c>
      <c r="D3">
        <v>0.81</v>
      </c>
      <c r="E3">
        <v>2.4300000000000002</v>
      </c>
      <c r="F3">
        <v>12.83</v>
      </c>
      <c r="G3">
        <v>1201</v>
      </c>
      <c r="H3">
        <v>2.23</v>
      </c>
      <c r="I3">
        <v>0</v>
      </c>
      <c r="J3">
        <v>2013</v>
      </c>
      <c r="K3" t="s">
        <v>18</v>
      </c>
      <c r="L3" t="s">
        <v>23</v>
      </c>
      <c r="M3" t="str">
        <f>IF(J3&gt;2010,"Yes","No")</f>
        <v>Yes</v>
      </c>
      <c r="N3">
        <f>F3/D3</f>
        <v>15.839506172839505</v>
      </c>
      <c r="O3">
        <f>E3/D3</f>
        <v>3</v>
      </c>
    </row>
    <row r="4" spans="1:15" x14ac:dyDescent="0.3">
      <c r="A4" s="37" t="s">
        <v>285</v>
      </c>
      <c r="B4" s="37" t="s">
        <v>30</v>
      </c>
      <c r="C4" s="37">
        <v>5</v>
      </c>
      <c r="D4" s="37">
        <v>0.84</v>
      </c>
      <c r="E4" s="37">
        <v>8.23</v>
      </c>
      <c r="F4" s="37">
        <v>84.39</v>
      </c>
      <c r="G4" s="37">
        <v>475</v>
      </c>
      <c r="H4" s="37">
        <v>7.75</v>
      </c>
      <c r="I4" s="37">
        <v>0</v>
      </c>
      <c r="J4" s="37">
        <v>2016</v>
      </c>
      <c r="K4" s="37" t="s">
        <v>14</v>
      </c>
      <c r="L4" s="37" t="s">
        <v>26</v>
      </c>
      <c r="M4" s="37" t="str">
        <f>IF(J4&gt;2010,"Yes","No")</f>
        <v>Yes</v>
      </c>
      <c r="N4" s="37">
        <f>F4/D4</f>
        <v>100.46428571428572</v>
      </c>
      <c r="O4" s="37">
        <f>E4/D4</f>
        <v>9.7976190476190492</v>
      </c>
    </row>
    <row r="5" spans="1:15" x14ac:dyDescent="0.3">
      <c r="A5" t="s">
        <v>372</v>
      </c>
      <c r="B5" t="s">
        <v>17</v>
      </c>
      <c r="C5">
        <v>3</v>
      </c>
      <c r="D5">
        <v>0.87</v>
      </c>
      <c r="E5">
        <v>5.99</v>
      </c>
      <c r="F5">
        <v>3.36</v>
      </c>
      <c r="G5">
        <v>3928</v>
      </c>
      <c r="H5">
        <v>0.21</v>
      </c>
      <c r="I5">
        <v>0</v>
      </c>
      <c r="J5">
        <v>2006</v>
      </c>
      <c r="K5" t="s">
        <v>18</v>
      </c>
      <c r="L5" t="s">
        <v>15</v>
      </c>
      <c r="M5" t="str">
        <f>IF(J5&gt;2010,"Yes","No")</f>
        <v>No</v>
      </c>
      <c r="N5">
        <f>F5/D5</f>
        <v>3.8620689655172411</v>
      </c>
      <c r="O5">
        <f>E5/D5</f>
        <v>6.8850574712643677</v>
      </c>
    </row>
    <row r="6" spans="1:15" x14ac:dyDescent="0.3">
      <c r="A6" t="s">
        <v>111</v>
      </c>
      <c r="B6" t="s">
        <v>34</v>
      </c>
      <c r="C6">
        <v>2</v>
      </c>
      <c r="D6">
        <v>1.2</v>
      </c>
      <c r="E6">
        <v>11.46</v>
      </c>
      <c r="F6">
        <v>5.82</v>
      </c>
      <c r="G6">
        <v>3635</v>
      </c>
      <c r="H6">
        <v>0.2</v>
      </c>
      <c r="I6">
        <v>0</v>
      </c>
      <c r="J6">
        <v>1992</v>
      </c>
      <c r="K6" t="s">
        <v>28</v>
      </c>
      <c r="L6" t="s">
        <v>23</v>
      </c>
      <c r="M6" t="str">
        <f>IF(J6&gt;2010,"Yes","No")</f>
        <v>No</v>
      </c>
      <c r="N6">
        <f>F6/D6</f>
        <v>4.8500000000000005</v>
      </c>
      <c r="O6">
        <f>E6/D6</f>
        <v>9.5500000000000007</v>
      </c>
    </row>
    <row r="7" spans="1:15" x14ac:dyDescent="0.3">
      <c r="A7" t="s">
        <v>187</v>
      </c>
      <c r="B7" t="s">
        <v>34</v>
      </c>
      <c r="C7">
        <v>2</v>
      </c>
      <c r="D7">
        <v>1.5</v>
      </c>
      <c r="E7">
        <v>19.07</v>
      </c>
      <c r="F7">
        <v>34.04</v>
      </c>
      <c r="G7">
        <v>2699</v>
      </c>
      <c r="H7">
        <v>5.39</v>
      </c>
      <c r="I7">
        <v>1</v>
      </c>
      <c r="J7">
        <v>2017</v>
      </c>
      <c r="K7" t="s">
        <v>28</v>
      </c>
      <c r="L7" t="s">
        <v>15</v>
      </c>
      <c r="M7" t="str">
        <f>IF(J7&gt;2010,"Yes","No")</f>
        <v>Yes</v>
      </c>
      <c r="N7">
        <f>F7/D7</f>
        <v>22.693333333333332</v>
      </c>
      <c r="O7">
        <f>E7/D7</f>
        <v>12.713333333333333</v>
      </c>
    </row>
    <row r="8" spans="1:15" x14ac:dyDescent="0.3">
      <c r="A8" t="s">
        <v>249</v>
      </c>
      <c r="B8" t="s">
        <v>30</v>
      </c>
      <c r="C8">
        <v>4</v>
      </c>
      <c r="D8">
        <v>2.02</v>
      </c>
      <c r="E8">
        <v>16.309999999999999</v>
      </c>
      <c r="F8">
        <v>97.98</v>
      </c>
      <c r="G8">
        <v>1592</v>
      </c>
      <c r="H8">
        <v>2.12</v>
      </c>
      <c r="I8">
        <v>0</v>
      </c>
      <c r="J8">
        <v>1999</v>
      </c>
      <c r="K8" t="s">
        <v>14</v>
      </c>
      <c r="L8" t="s">
        <v>15</v>
      </c>
      <c r="M8" t="str">
        <f>IF(J8&gt;2010,"Yes","No")</f>
        <v>No</v>
      </c>
      <c r="N8">
        <f>F8/D8</f>
        <v>48.504950495049506</v>
      </c>
      <c r="O8">
        <f>E8/D8</f>
        <v>8.074257425742573</v>
      </c>
    </row>
    <row r="9" spans="1:15" x14ac:dyDescent="0.3">
      <c r="A9" t="s">
        <v>281</v>
      </c>
      <c r="B9" t="s">
        <v>34</v>
      </c>
      <c r="C9">
        <v>5</v>
      </c>
      <c r="D9">
        <v>2.04</v>
      </c>
      <c r="E9">
        <v>27.5</v>
      </c>
      <c r="F9">
        <v>43.61</v>
      </c>
      <c r="G9">
        <v>202</v>
      </c>
      <c r="H9">
        <v>6.16</v>
      </c>
      <c r="I9">
        <v>1</v>
      </c>
      <c r="J9">
        <v>2000</v>
      </c>
      <c r="K9" t="s">
        <v>28</v>
      </c>
      <c r="L9" t="s">
        <v>15</v>
      </c>
      <c r="M9" t="str">
        <f>IF(J9&gt;2010,"Yes","No")</f>
        <v>No</v>
      </c>
      <c r="N9">
        <f>F9/D9</f>
        <v>21.377450980392155</v>
      </c>
      <c r="O9">
        <f>E9/D9</f>
        <v>13.480392156862745</v>
      </c>
    </row>
    <row r="10" spans="1:15" x14ac:dyDescent="0.3">
      <c r="A10" t="s">
        <v>113</v>
      </c>
      <c r="B10" t="s">
        <v>13</v>
      </c>
      <c r="C10">
        <v>2</v>
      </c>
      <c r="D10">
        <v>2.0699999999999998</v>
      </c>
      <c r="E10">
        <v>6.57</v>
      </c>
      <c r="F10">
        <v>13.22</v>
      </c>
      <c r="G10">
        <v>2298</v>
      </c>
      <c r="H10">
        <v>8.84</v>
      </c>
      <c r="I10">
        <v>0</v>
      </c>
      <c r="J10">
        <v>2006</v>
      </c>
      <c r="K10" t="s">
        <v>18</v>
      </c>
      <c r="L10" t="s">
        <v>15</v>
      </c>
      <c r="M10" t="str">
        <f>IF(J10&gt;2010,"Yes","No")</f>
        <v>No</v>
      </c>
      <c r="N10">
        <f>F10/D10</f>
        <v>6.3864734299516916</v>
      </c>
      <c r="O10">
        <f>E10/D10</f>
        <v>3.1739130434782612</v>
      </c>
    </row>
    <row r="11" spans="1:15" x14ac:dyDescent="0.3">
      <c r="A11" t="s">
        <v>505</v>
      </c>
      <c r="B11" t="s">
        <v>21</v>
      </c>
      <c r="C11">
        <v>4</v>
      </c>
      <c r="D11">
        <v>3.2</v>
      </c>
      <c r="E11">
        <v>15.78</v>
      </c>
      <c r="F11">
        <v>88.98</v>
      </c>
      <c r="G11">
        <v>2414</v>
      </c>
      <c r="H11">
        <v>0.52</v>
      </c>
      <c r="I11">
        <v>0</v>
      </c>
      <c r="J11">
        <v>1990</v>
      </c>
      <c r="K11" t="s">
        <v>41</v>
      </c>
      <c r="L11" t="s">
        <v>26</v>
      </c>
      <c r="M11" t="str">
        <f>IF(J11&gt;2010,"Yes","No")</f>
        <v>No</v>
      </c>
      <c r="N11">
        <f>F11/D11</f>
        <v>27.806249999999999</v>
      </c>
      <c r="O11">
        <f>E11/D11</f>
        <v>4.9312499999999995</v>
      </c>
    </row>
    <row r="12" spans="1:15" x14ac:dyDescent="0.3">
      <c r="A12" t="s">
        <v>295</v>
      </c>
      <c r="B12" t="s">
        <v>21</v>
      </c>
      <c r="C12">
        <v>1</v>
      </c>
      <c r="D12">
        <v>3.22</v>
      </c>
      <c r="E12">
        <v>17.850000000000001</v>
      </c>
      <c r="F12">
        <v>99.18</v>
      </c>
      <c r="G12">
        <v>3612</v>
      </c>
      <c r="H12">
        <v>7.28</v>
      </c>
      <c r="I12">
        <v>1</v>
      </c>
      <c r="J12">
        <v>2022</v>
      </c>
      <c r="K12" t="s">
        <v>32</v>
      </c>
      <c r="L12" t="s">
        <v>15</v>
      </c>
      <c r="M12" t="str">
        <f>IF(J12&gt;2010,"Yes","No")</f>
        <v>Yes</v>
      </c>
      <c r="N12">
        <f>F12/D12</f>
        <v>30.801242236024844</v>
      </c>
      <c r="O12">
        <f>E12/D12</f>
        <v>5.5434782608695654</v>
      </c>
    </row>
    <row r="13" spans="1:15" x14ac:dyDescent="0.3">
      <c r="A13" t="s">
        <v>175</v>
      </c>
      <c r="B13" t="s">
        <v>25</v>
      </c>
      <c r="C13">
        <v>1</v>
      </c>
      <c r="D13">
        <v>3.34</v>
      </c>
      <c r="E13">
        <v>41.83</v>
      </c>
      <c r="F13">
        <v>21.69</v>
      </c>
      <c r="G13">
        <v>3740</v>
      </c>
      <c r="H13">
        <v>3.93</v>
      </c>
      <c r="I13">
        <v>0</v>
      </c>
      <c r="J13">
        <v>2004</v>
      </c>
      <c r="K13" t="s">
        <v>28</v>
      </c>
      <c r="L13" t="s">
        <v>15</v>
      </c>
      <c r="M13" t="str">
        <f>IF(J13&gt;2010,"Yes","No")</f>
        <v>No</v>
      </c>
      <c r="N13">
        <f>F13/D13</f>
        <v>6.4940119760479051</v>
      </c>
      <c r="O13">
        <f>E13/D13</f>
        <v>12.523952095808383</v>
      </c>
    </row>
    <row r="14" spans="1:15" x14ac:dyDescent="0.3">
      <c r="A14" t="s">
        <v>365</v>
      </c>
      <c r="B14" t="s">
        <v>17</v>
      </c>
      <c r="C14">
        <v>5</v>
      </c>
      <c r="D14">
        <v>5.85</v>
      </c>
      <c r="E14">
        <v>26.94</v>
      </c>
      <c r="F14">
        <v>57.38</v>
      </c>
      <c r="G14">
        <v>4641</v>
      </c>
      <c r="H14">
        <v>5.94</v>
      </c>
      <c r="I14">
        <v>1</v>
      </c>
      <c r="J14">
        <v>1994</v>
      </c>
      <c r="K14" t="s">
        <v>18</v>
      </c>
      <c r="L14" t="s">
        <v>15</v>
      </c>
      <c r="M14" t="str">
        <f>IF(J14&gt;2010,"Yes","No")</f>
        <v>No</v>
      </c>
      <c r="N14">
        <f>F14/D14</f>
        <v>9.8085470085470092</v>
      </c>
      <c r="O14">
        <f>E14/D14</f>
        <v>4.6051282051282056</v>
      </c>
    </row>
    <row r="15" spans="1:15" x14ac:dyDescent="0.3">
      <c r="A15" t="s">
        <v>399</v>
      </c>
      <c r="B15" t="s">
        <v>21</v>
      </c>
      <c r="C15">
        <v>5</v>
      </c>
      <c r="D15">
        <v>6</v>
      </c>
      <c r="E15">
        <v>38.11</v>
      </c>
      <c r="F15">
        <v>40.76</v>
      </c>
      <c r="G15">
        <v>3723</v>
      </c>
      <c r="H15">
        <v>2.39</v>
      </c>
      <c r="I15">
        <v>0</v>
      </c>
      <c r="J15">
        <v>2015</v>
      </c>
      <c r="K15" t="s">
        <v>18</v>
      </c>
      <c r="L15" t="s">
        <v>15</v>
      </c>
      <c r="M15" t="str">
        <f>IF(J15&gt;2010,"Yes","No")</f>
        <v>Yes</v>
      </c>
      <c r="N15">
        <f>F15/D15</f>
        <v>6.793333333333333</v>
      </c>
      <c r="O15">
        <f>E15/D15</f>
        <v>6.3516666666666666</v>
      </c>
    </row>
    <row r="16" spans="1:15" x14ac:dyDescent="0.3">
      <c r="A16" t="s">
        <v>299</v>
      </c>
      <c r="B16" t="s">
        <v>17</v>
      </c>
      <c r="C16">
        <v>2</v>
      </c>
      <c r="D16">
        <v>6.02</v>
      </c>
      <c r="E16">
        <v>29.17</v>
      </c>
      <c r="F16">
        <v>86.65</v>
      </c>
      <c r="G16">
        <v>4893</v>
      </c>
      <c r="H16">
        <v>6.68</v>
      </c>
      <c r="I16">
        <v>1</v>
      </c>
      <c r="J16">
        <v>2009</v>
      </c>
      <c r="K16" t="s">
        <v>32</v>
      </c>
      <c r="L16" t="s">
        <v>15</v>
      </c>
      <c r="M16" t="str">
        <f>IF(J16&gt;2010,"Yes","No")</f>
        <v>No</v>
      </c>
      <c r="N16">
        <f>F16/D16</f>
        <v>14.393687707641197</v>
      </c>
      <c r="O16">
        <f>E16/D16</f>
        <v>4.8455149501661134</v>
      </c>
    </row>
    <row r="17" spans="1:15" x14ac:dyDescent="0.3">
      <c r="A17" t="s">
        <v>451</v>
      </c>
      <c r="B17" t="s">
        <v>13</v>
      </c>
      <c r="C17">
        <v>4</v>
      </c>
      <c r="D17">
        <v>6.75</v>
      </c>
      <c r="E17">
        <v>29.48</v>
      </c>
      <c r="F17">
        <v>82.98</v>
      </c>
      <c r="G17">
        <v>2846</v>
      </c>
      <c r="H17">
        <v>5.8</v>
      </c>
      <c r="I17">
        <v>1</v>
      </c>
      <c r="J17">
        <v>1997</v>
      </c>
      <c r="K17" t="s">
        <v>41</v>
      </c>
      <c r="L17" t="s">
        <v>15</v>
      </c>
      <c r="M17" t="str">
        <f>IF(J17&gt;2010,"Yes","No")</f>
        <v>No</v>
      </c>
      <c r="N17">
        <f>F17/D17</f>
        <v>12.293333333333335</v>
      </c>
      <c r="O17">
        <f>E17/D17</f>
        <v>4.3674074074074074</v>
      </c>
    </row>
    <row r="18" spans="1:15" x14ac:dyDescent="0.3">
      <c r="A18" t="s">
        <v>473</v>
      </c>
      <c r="B18" t="s">
        <v>13</v>
      </c>
      <c r="C18">
        <v>2</v>
      </c>
      <c r="D18">
        <v>9.3000000000000007</v>
      </c>
      <c r="E18">
        <v>126.03</v>
      </c>
      <c r="F18">
        <v>15.52</v>
      </c>
      <c r="G18">
        <v>3311</v>
      </c>
      <c r="H18">
        <v>8.83</v>
      </c>
      <c r="I18">
        <v>0</v>
      </c>
      <c r="J18">
        <v>2014</v>
      </c>
      <c r="K18" t="s">
        <v>18</v>
      </c>
      <c r="L18" t="s">
        <v>15</v>
      </c>
      <c r="M18" t="str">
        <f>IF(J18&gt;2010,"Yes","No")</f>
        <v>Yes</v>
      </c>
      <c r="N18">
        <f>F18/D18</f>
        <v>1.6688172043010752</v>
      </c>
      <c r="O18">
        <f>E18/D18</f>
        <v>13.551612903225806</v>
      </c>
    </row>
    <row r="19" spans="1:15" x14ac:dyDescent="0.3">
      <c r="A19" t="s">
        <v>342</v>
      </c>
      <c r="B19" t="s">
        <v>75</v>
      </c>
      <c r="C19">
        <v>5</v>
      </c>
      <c r="D19">
        <v>9.8800000000000008</v>
      </c>
      <c r="E19">
        <v>122.44</v>
      </c>
      <c r="F19">
        <v>6.93</v>
      </c>
      <c r="G19">
        <v>1553</v>
      </c>
      <c r="H19">
        <v>7.73</v>
      </c>
      <c r="I19">
        <v>1</v>
      </c>
      <c r="J19">
        <v>2022</v>
      </c>
      <c r="K19" t="s">
        <v>28</v>
      </c>
      <c r="L19" t="s">
        <v>15</v>
      </c>
      <c r="M19" t="str">
        <f>IF(J19&gt;2010,"Yes","No")</f>
        <v>Yes</v>
      </c>
      <c r="N19">
        <f>F19/D19</f>
        <v>0.70141700404858287</v>
      </c>
      <c r="O19">
        <f>E19/D19</f>
        <v>12.392712550607285</v>
      </c>
    </row>
    <row r="20" spans="1:15" x14ac:dyDescent="0.3">
      <c r="A20" t="s">
        <v>20</v>
      </c>
      <c r="B20" t="s">
        <v>21</v>
      </c>
      <c r="C20">
        <v>5</v>
      </c>
      <c r="D20">
        <v>10.75</v>
      </c>
      <c r="E20">
        <v>101.9</v>
      </c>
      <c r="F20">
        <v>47.08</v>
      </c>
      <c r="G20">
        <v>1059</v>
      </c>
      <c r="H20">
        <v>2.5299999999999998</v>
      </c>
      <c r="I20">
        <v>0</v>
      </c>
      <c r="J20">
        <v>2003</v>
      </c>
      <c r="K20" t="s">
        <v>18</v>
      </c>
      <c r="L20" t="s">
        <v>15</v>
      </c>
      <c r="M20" t="str">
        <f>IF(J20&gt;2010,"Yes","No")</f>
        <v>No</v>
      </c>
      <c r="N20">
        <f>F20/D20</f>
        <v>4.3795348837209298</v>
      </c>
      <c r="O20">
        <f>E20/D20</f>
        <v>9.4790697674418603</v>
      </c>
    </row>
    <row r="21" spans="1:15" x14ac:dyDescent="0.3">
      <c r="A21" t="s">
        <v>234</v>
      </c>
      <c r="B21" t="s">
        <v>75</v>
      </c>
      <c r="C21">
        <v>5</v>
      </c>
      <c r="D21">
        <v>10.94</v>
      </c>
      <c r="E21">
        <v>92.8</v>
      </c>
      <c r="F21">
        <v>73.290000000000006</v>
      </c>
      <c r="G21">
        <v>3970</v>
      </c>
      <c r="H21">
        <v>7.87</v>
      </c>
      <c r="I21">
        <v>0</v>
      </c>
      <c r="J21">
        <v>2018</v>
      </c>
      <c r="K21" t="s">
        <v>41</v>
      </c>
      <c r="L21" t="s">
        <v>15</v>
      </c>
      <c r="M21" t="str">
        <f>IF(J21&gt;2010,"Yes","No")</f>
        <v>Yes</v>
      </c>
      <c r="N21">
        <f>F21/D21</f>
        <v>6.699268738574041</v>
      </c>
      <c r="O21">
        <f>E21/D21</f>
        <v>8.4826325411334551</v>
      </c>
    </row>
    <row r="22" spans="1:15" x14ac:dyDescent="0.3">
      <c r="A22" t="s">
        <v>243</v>
      </c>
      <c r="B22" t="s">
        <v>21</v>
      </c>
      <c r="C22">
        <v>3</v>
      </c>
      <c r="D22">
        <v>11.11</v>
      </c>
      <c r="E22">
        <v>45.16</v>
      </c>
      <c r="F22">
        <v>98.84</v>
      </c>
      <c r="G22">
        <v>1561</v>
      </c>
      <c r="H22">
        <v>1.1200000000000001</v>
      </c>
      <c r="I22">
        <v>0</v>
      </c>
      <c r="J22">
        <v>2010</v>
      </c>
      <c r="K22" t="s">
        <v>28</v>
      </c>
      <c r="L22" t="s">
        <v>15</v>
      </c>
      <c r="M22" t="str">
        <f>IF(J22&gt;2010,"Yes","No")</f>
        <v>No</v>
      </c>
      <c r="N22">
        <f>F22/D22</f>
        <v>8.8964896489648968</v>
      </c>
      <c r="O22">
        <f>E22/D22</f>
        <v>4.0648064806480644</v>
      </c>
    </row>
    <row r="23" spans="1:15" x14ac:dyDescent="0.3">
      <c r="A23" t="s">
        <v>217</v>
      </c>
      <c r="B23" t="s">
        <v>34</v>
      </c>
      <c r="C23">
        <v>3</v>
      </c>
      <c r="D23">
        <v>11.5</v>
      </c>
      <c r="E23">
        <v>141.12</v>
      </c>
      <c r="F23">
        <v>27.72</v>
      </c>
      <c r="G23">
        <v>3761</v>
      </c>
      <c r="H23">
        <v>9.36</v>
      </c>
      <c r="I23">
        <v>1</v>
      </c>
      <c r="J23">
        <v>2018</v>
      </c>
      <c r="K23" t="s">
        <v>41</v>
      </c>
      <c r="L23" t="s">
        <v>15</v>
      </c>
      <c r="M23" t="str">
        <f>IF(J23&gt;2010,"Yes","No")</f>
        <v>Yes</v>
      </c>
      <c r="N23">
        <f>F23/D23</f>
        <v>2.4104347826086956</v>
      </c>
      <c r="O23">
        <f>E23/D23</f>
        <v>12.271304347826087</v>
      </c>
    </row>
    <row r="24" spans="1:15" x14ac:dyDescent="0.3">
      <c r="A24" t="s">
        <v>178</v>
      </c>
      <c r="B24" t="s">
        <v>13</v>
      </c>
      <c r="C24">
        <v>5</v>
      </c>
      <c r="D24">
        <v>11.76</v>
      </c>
      <c r="E24">
        <v>86.19</v>
      </c>
      <c r="F24">
        <v>46.07</v>
      </c>
      <c r="G24">
        <v>4157</v>
      </c>
      <c r="H24">
        <v>7.84</v>
      </c>
      <c r="I24">
        <v>1</v>
      </c>
      <c r="J24">
        <v>2001</v>
      </c>
      <c r="K24" t="s">
        <v>32</v>
      </c>
      <c r="L24" t="s">
        <v>23</v>
      </c>
      <c r="M24" t="str">
        <f>IF(J24&gt;2010,"Yes","No")</f>
        <v>No</v>
      </c>
      <c r="N24">
        <f>F24/D24</f>
        <v>3.9175170068027212</v>
      </c>
      <c r="O24">
        <f>E24/D24</f>
        <v>7.329081632653061</v>
      </c>
    </row>
    <row r="25" spans="1:15" x14ac:dyDescent="0.3">
      <c r="A25" t="s">
        <v>436</v>
      </c>
      <c r="B25" t="s">
        <v>13</v>
      </c>
      <c r="C25">
        <v>3</v>
      </c>
      <c r="D25">
        <v>12.71</v>
      </c>
      <c r="E25">
        <v>175.23</v>
      </c>
      <c r="F25">
        <v>92.95</v>
      </c>
      <c r="G25">
        <v>465</v>
      </c>
      <c r="H25">
        <v>2.5099999999999998</v>
      </c>
      <c r="I25">
        <v>0</v>
      </c>
      <c r="J25">
        <v>1998</v>
      </c>
      <c r="K25" t="s">
        <v>41</v>
      </c>
      <c r="L25" t="s">
        <v>15</v>
      </c>
      <c r="M25" t="str">
        <f>IF(J25&gt;2010,"Yes","No")</f>
        <v>No</v>
      </c>
      <c r="N25">
        <f>F25/D25</f>
        <v>7.3131392604248617</v>
      </c>
      <c r="O25">
        <f>E25/D25</f>
        <v>13.786782061368999</v>
      </c>
    </row>
    <row r="26" spans="1:15" x14ac:dyDescent="0.3">
      <c r="A26" t="s">
        <v>416</v>
      </c>
      <c r="B26" t="s">
        <v>75</v>
      </c>
      <c r="C26">
        <v>3</v>
      </c>
      <c r="D26">
        <v>12.83</v>
      </c>
      <c r="E26">
        <v>153.38</v>
      </c>
      <c r="F26">
        <v>5.04</v>
      </c>
      <c r="G26">
        <v>3281</v>
      </c>
      <c r="H26">
        <v>3.91</v>
      </c>
      <c r="I26">
        <v>0</v>
      </c>
      <c r="J26">
        <v>2001</v>
      </c>
      <c r="K26" t="s">
        <v>41</v>
      </c>
      <c r="L26" t="s">
        <v>23</v>
      </c>
      <c r="M26" t="str">
        <f>IF(J26&gt;2010,"Yes","No")</f>
        <v>No</v>
      </c>
      <c r="N26">
        <f>F26/D26</f>
        <v>0.39282930631332813</v>
      </c>
      <c r="O26">
        <f>E26/D26</f>
        <v>11.954793452844894</v>
      </c>
    </row>
    <row r="27" spans="1:15" x14ac:dyDescent="0.3">
      <c r="A27" t="s">
        <v>449</v>
      </c>
      <c r="B27" t="s">
        <v>13</v>
      </c>
      <c r="C27">
        <v>3</v>
      </c>
      <c r="D27">
        <v>13.58</v>
      </c>
      <c r="E27">
        <v>61.15</v>
      </c>
      <c r="F27">
        <v>0.31</v>
      </c>
      <c r="G27">
        <v>4786</v>
      </c>
      <c r="H27">
        <v>3.34</v>
      </c>
      <c r="I27">
        <v>0</v>
      </c>
      <c r="J27">
        <v>2017</v>
      </c>
      <c r="K27" t="s">
        <v>18</v>
      </c>
      <c r="L27" t="s">
        <v>15</v>
      </c>
      <c r="M27" t="str">
        <f>IF(J27&gt;2010,"Yes","No")</f>
        <v>Yes</v>
      </c>
      <c r="N27">
        <f>F27/D27</f>
        <v>2.2827687776141383E-2</v>
      </c>
      <c r="O27">
        <f>E27/D27</f>
        <v>4.5029455081001473</v>
      </c>
    </row>
    <row r="28" spans="1:15" x14ac:dyDescent="0.3">
      <c r="A28" t="s">
        <v>134</v>
      </c>
      <c r="B28" t="s">
        <v>13</v>
      </c>
      <c r="C28">
        <v>2</v>
      </c>
      <c r="D28">
        <v>13.73</v>
      </c>
      <c r="E28">
        <v>176.69</v>
      </c>
      <c r="F28">
        <v>34.659999999999997</v>
      </c>
      <c r="G28">
        <v>4815</v>
      </c>
      <c r="H28">
        <v>3.87</v>
      </c>
      <c r="I28">
        <v>1</v>
      </c>
      <c r="J28">
        <v>2022</v>
      </c>
      <c r="K28" t="s">
        <v>32</v>
      </c>
      <c r="L28" t="s">
        <v>15</v>
      </c>
      <c r="M28" t="str">
        <f>IF(J28&gt;2010,"Yes","No")</f>
        <v>Yes</v>
      </c>
      <c r="N28">
        <f>F28/D28</f>
        <v>2.5243991260014562</v>
      </c>
      <c r="O28">
        <f>E28/D28</f>
        <v>12.868900218499634</v>
      </c>
    </row>
    <row r="29" spans="1:15" x14ac:dyDescent="0.3">
      <c r="A29" t="s">
        <v>241</v>
      </c>
      <c r="B29" t="s">
        <v>75</v>
      </c>
      <c r="C29">
        <v>3</v>
      </c>
      <c r="D29">
        <v>13.79</v>
      </c>
      <c r="E29">
        <v>96.57</v>
      </c>
      <c r="F29">
        <v>74</v>
      </c>
      <c r="G29">
        <v>441</v>
      </c>
      <c r="H29">
        <v>4.5599999999999996</v>
      </c>
      <c r="I29">
        <v>0</v>
      </c>
      <c r="J29">
        <v>2019</v>
      </c>
      <c r="K29" t="s">
        <v>32</v>
      </c>
      <c r="L29" t="s">
        <v>15</v>
      </c>
      <c r="M29" t="str">
        <f>IF(J29&gt;2010,"Yes","No")</f>
        <v>Yes</v>
      </c>
      <c r="N29">
        <f>F29/D29</f>
        <v>5.3662073966642501</v>
      </c>
      <c r="O29">
        <f>E29/D29</f>
        <v>7.0029006526468454</v>
      </c>
    </row>
    <row r="30" spans="1:15" x14ac:dyDescent="0.3">
      <c r="A30" t="s">
        <v>195</v>
      </c>
      <c r="B30" t="s">
        <v>75</v>
      </c>
      <c r="C30">
        <v>3</v>
      </c>
      <c r="D30">
        <v>14.01</v>
      </c>
      <c r="E30">
        <v>132.03</v>
      </c>
      <c r="F30">
        <v>16.25</v>
      </c>
      <c r="G30">
        <v>1772</v>
      </c>
      <c r="H30">
        <v>9.5299999999999994</v>
      </c>
      <c r="I30">
        <v>0</v>
      </c>
      <c r="J30">
        <v>1996</v>
      </c>
      <c r="K30" t="s">
        <v>28</v>
      </c>
      <c r="L30" t="s">
        <v>23</v>
      </c>
      <c r="M30" t="str">
        <f>IF(J30&gt;2010,"Yes","No")</f>
        <v>No</v>
      </c>
      <c r="N30">
        <f>F30/D30</f>
        <v>1.1598857958600999</v>
      </c>
      <c r="O30">
        <f>E30/D30</f>
        <v>9.4239828693790155</v>
      </c>
    </row>
    <row r="31" spans="1:15" x14ac:dyDescent="0.3">
      <c r="A31" t="s">
        <v>215</v>
      </c>
      <c r="B31" t="s">
        <v>17</v>
      </c>
      <c r="C31">
        <v>4</v>
      </c>
      <c r="D31">
        <v>14.56</v>
      </c>
      <c r="E31">
        <v>102.6</v>
      </c>
      <c r="F31">
        <v>35.729999999999997</v>
      </c>
      <c r="G31">
        <v>192</v>
      </c>
      <c r="H31">
        <v>2</v>
      </c>
      <c r="I31">
        <v>0</v>
      </c>
      <c r="J31">
        <v>2012</v>
      </c>
      <c r="K31" t="s">
        <v>28</v>
      </c>
      <c r="L31" t="s">
        <v>15</v>
      </c>
      <c r="M31" t="str">
        <f>IF(J31&gt;2010,"Yes","No")</f>
        <v>Yes</v>
      </c>
      <c r="N31">
        <f>F31/D31</f>
        <v>2.453983516483516</v>
      </c>
      <c r="O31">
        <f>E31/D31</f>
        <v>7.0467032967032956</v>
      </c>
    </row>
    <row r="32" spans="1:15" x14ac:dyDescent="0.3">
      <c r="A32" t="s">
        <v>251</v>
      </c>
      <c r="B32" t="s">
        <v>25</v>
      </c>
      <c r="C32">
        <v>4</v>
      </c>
      <c r="D32">
        <v>15.11</v>
      </c>
      <c r="E32">
        <v>45.55</v>
      </c>
      <c r="F32">
        <v>13.07</v>
      </c>
      <c r="G32">
        <v>164</v>
      </c>
      <c r="H32">
        <v>0.83</v>
      </c>
      <c r="I32">
        <v>1</v>
      </c>
      <c r="J32">
        <v>1991</v>
      </c>
      <c r="K32" t="s">
        <v>41</v>
      </c>
      <c r="L32" t="s">
        <v>15</v>
      </c>
      <c r="M32" t="str">
        <f>IF(J32&gt;2010,"Yes","No")</f>
        <v>No</v>
      </c>
      <c r="N32">
        <f>F32/D32</f>
        <v>0.8649900727994706</v>
      </c>
      <c r="O32">
        <f>E32/D32</f>
        <v>3.014559894109861</v>
      </c>
    </row>
    <row r="33" spans="1:15" x14ac:dyDescent="0.3">
      <c r="A33" t="s">
        <v>132</v>
      </c>
      <c r="B33" t="s">
        <v>13</v>
      </c>
      <c r="C33">
        <v>4</v>
      </c>
      <c r="D33">
        <v>15.95</v>
      </c>
      <c r="E33">
        <v>184.79</v>
      </c>
      <c r="F33">
        <v>62.01</v>
      </c>
      <c r="G33">
        <v>4499</v>
      </c>
      <c r="H33">
        <v>5.47</v>
      </c>
      <c r="I33">
        <v>0</v>
      </c>
      <c r="J33">
        <v>2012</v>
      </c>
      <c r="K33" t="s">
        <v>14</v>
      </c>
      <c r="L33" t="s">
        <v>26</v>
      </c>
      <c r="M33" t="str">
        <f>IF(J33&gt;2010,"Yes","No")</f>
        <v>Yes</v>
      </c>
      <c r="N33">
        <f>F33/D33</f>
        <v>3.8877742946708462</v>
      </c>
      <c r="O33">
        <f>E33/D33</f>
        <v>11.585579937304075</v>
      </c>
    </row>
    <row r="34" spans="1:15" x14ac:dyDescent="0.3">
      <c r="A34" t="s">
        <v>176</v>
      </c>
      <c r="B34" t="s">
        <v>21</v>
      </c>
      <c r="C34">
        <v>1</v>
      </c>
      <c r="D34">
        <v>16.28</v>
      </c>
      <c r="E34">
        <v>175.16</v>
      </c>
      <c r="F34">
        <v>9.85</v>
      </c>
      <c r="G34">
        <v>700</v>
      </c>
      <c r="H34">
        <v>9.08</v>
      </c>
      <c r="I34">
        <v>0</v>
      </c>
      <c r="J34">
        <v>1997</v>
      </c>
      <c r="K34" t="s">
        <v>28</v>
      </c>
      <c r="L34" t="s">
        <v>15</v>
      </c>
      <c r="M34" t="str">
        <f>IF(J34&gt;2010,"Yes","No")</f>
        <v>No</v>
      </c>
      <c r="N34">
        <f>F34/D34</f>
        <v>0.605036855036855</v>
      </c>
      <c r="O34">
        <f>E34/D34</f>
        <v>10.759213759213758</v>
      </c>
    </row>
    <row r="35" spans="1:15" x14ac:dyDescent="0.3">
      <c r="A35" t="s">
        <v>147</v>
      </c>
      <c r="B35" t="s">
        <v>30</v>
      </c>
      <c r="C35">
        <v>3</v>
      </c>
      <c r="D35">
        <v>16.940000000000001</v>
      </c>
      <c r="E35">
        <v>187.04</v>
      </c>
      <c r="F35">
        <v>49.5</v>
      </c>
      <c r="G35">
        <v>4263</v>
      </c>
      <c r="H35">
        <v>5.64</v>
      </c>
      <c r="I35">
        <v>0</v>
      </c>
      <c r="J35">
        <v>2003</v>
      </c>
      <c r="K35" t="s">
        <v>14</v>
      </c>
      <c r="L35" t="s">
        <v>15</v>
      </c>
      <c r="M35" t="str">
        <f>IF(J35&gt;2010,"Yes","No")</f>
        <v>No</v>
      </c>
      <c r="N35">
        <f>F35/D35</f>
        <v>2.9220779220779218</v>
      </c>
      <c r="O35">
        <f>E35/D35</f>
        <v>11.041322314049586</v>
      </c>
    </row>
    <row r="36" spans="1:15" x14ac:dyDescent="0.3">
      <c r="A36" t="s">
        <v>313</v>
      </c>
      <c r="B36" t="s">
        <v>25</v>
      </c>
      <c r="C36">
        <v>4</v>
      </c>
      <c r="D36">
        <v>17.850000000000001</v>
      </c>
      <c r="E36">
        <v>230.31</v>
      </c>
      <c r="F36">
        <v>0.12</v>
      </c>
      <c r="G36">
        <v>4077</v>
      </c>
      <c r="H36">
        <v>6.74</v>
      </c>
      <c r="I36">
        <v>0</v>
      </c>
      <c r="J36">
        <v>2009</v>
      </c>
      <c r="K36" t="s">
        <v>14</v>
      </c>
      <c r="L36" t="s">
        <v>15</v>
      </c>
      <c r="M36" t="str">
        <f>IF(J36&gt;2010,"Yes","No")</f>
        <v>No</v>
      </c>
      <c r="N36">
        <f>F36/D36</f>
        <v>6.7226890756302516E-3</v>
      </c>
      <c r="O36">
        <f>E36/D36</f>
        <v>12.90252100840336</v>
      </c>
    </row>
    <row r="37" spans="1:15" x14ac:dyDescent="0.3">
      <c r="A37" t="s">
        <v>257</v>
      </c>
      <c r="B37" t="s">
        <v>75</v>
      </c>
      <c r="C37">
        <v>2</v>
      </c>
      <c r="D37">
        <v>18.920000000000002</v>
      </c>
      <c r="E37">
        <v>277.93</v>
      </c>
      <c r="F37">
        <v>37.96</v>
      </c>
      <c r="G37">
        <v>1040</v>
      </c>
      <c r="H37">
        <v>6.93</v>
      </c>
      <c r="I37">
        <v>0</v>
      </c>
      <c r="J37">
        <v>2020</v>
      </c>
      <c r="K37" t="s">
        <v>28</v>
      </c>
      <c r="L37" t="s">
        <v>15</v>
      </c>
      <c r="M37" t="str">
        <f>IF(J37&gt;2010,"Yes","No")</f>
        <v>Yes</v>
      </c>
      <c r="N37">
        <f>F37/D37</f>
        <v>2.0063424947145876</v>
      </c>
      <c r="O37">
        <f>E37/D37</f>
        <v>14.689746300211416</v>
      </c>
    </row>
    <row r="38" spans="1:15" x14ac:dyDescent="0.3">
      <c r="A38" t="s">
        <v>209</v>
      </c>
      <c r="B38" t="s">
        <v>17</v>
      </c>
      <c r="C38">
        <v>4</v>
      </c>
      <c r="D38">
        <v>19.96</v>
      </c>
      <c r="E38">
        <v>166.66</v>
      </c>
      <c r="F38">
        <v>39.799999999999997</v>
      </c>
      <c r="G38">
        <v>2019</v>
      </c>
      <c r="H38">
        <v>6.32</v>
      </c>
      <c r="I38">
        <v>1</v>
      </c>
      <c r="J38">
        <v>2021</v>
      </c>
      <c r="K38" t="s">
        <v>41</v>
      </c>
      <c r="L38" t="s">
        <v>23</v>
      </c>
      <c r="M38" t="str">
        <f>IF(J38&gt;2010,"Yes","No")</f>
        <v>Yes</v>
      </c>
      <c r="N38">
        <f>F38/D38</f>
        <v>1.9939879759519037</v>
      </c>
      <c r="O38">
        <f>E38/D38</f>
        <v>8.3496993987975952</v>
      </c>
    </row>
    <row r="39" spans="1:15" x14ac:dyDescent="0.3">
      <c r="A39" t="s">
        <v>322</v>
      </c>
      <c r="B39" t="s">
        <v>25</v>
      </c>
      <c r="C39">
        <v>1</v>
      </c>
      <c r="D39">
        <v>20.16</v>
      </c>
      <c r="E39">
        <v>204.25</v>
      </c>
      <c r="F39">
        <v>47.96</v>
      </c>
      <c r="G39">
        <v>2010</v>
      </c>
      <c r="H39">
        <v>0.26</v>
      </c>
      <c r="I39">
        <v>1</v>
      </c>
      <c r="J39">
        <v>2018</v>
      </c>
      <c r="K39" t="s">
        <v>14</v>
      </c>
      <c r="L39" t="s">
        <v>15</v>
      </c>
      <c r="M39" t="str">
        <f>IF(J39&gt;2010,"Yes","No")</f>
        <v>Yes</v>
      </c>
      <c r="N39">
        <f>F39/D39</f>
        <v>2.378968253968254</v>
      </c>
      <c r="O39">
        <f>E39/D39</f>
        <v>10.131448412698413</v>
      </c>
    </row>
    <row r="40" spans="1:15" x14ac:dyDescent="0.3">
      <c r="A40" t="s">
        <v>60</v>
      </c>
      <c r="B40" t="s">
        <v>25</v>
      </c>
      <c r="C40">
        <v>1</v>
      </c>
      <c r="D40">
        <v>20.62</v>
      </c>
      <c r="E40">
        <v>108.47</v>
      </c>
      <c r="F40">
        <v>69.569999999999993</v>
      </c>
      <c r="G40">
        <v>1306</v>
      </c>
      <c r="H40">
        <v>9.57</v>
      </c>
      <c r="I40">
        <v>0</v>
      </c>
      <c r="J40">
        <v>2013</v>
      </c>
      <c r="K40" t="s">
        <v>18</v>
      </c>
      <c r="L40" t="s">
        <v>15</v>
      </c>
      <c r="M40" t="str">
        <f>IF(J40&gt;2010,"Yes","No")</f>
        <v>Yes</v>
      </c>
      <c r="N40">
        <f>F40/D40</f>
        <v>3.3739088263821526</v>
      </c>
      <c r="O40">
        <f>E40/D40</f>
        <v>5.2604267701260907</v>
      </c>
    </row>
    <row r="41" spans="1:15" x14ac:dyDescent="0.3">
      <c r="A41" t="s">
        <v>83</v>
      </c>
      <c r="B41" t="s">
        <v>21</v>
      </c>
      <c r="C41">
        <v>3</v>
      </c>
      <c r="D41">
        <v>20.94</v>
      </c>
      <c r="E41">
        <v>150.41</v>
      </c>
      <c r="F41">
        <v>74.75</v>
      </c>
      <c r="G41">
        <v>4936</v>
      </c>
      <c r="H41">
        <v>5.98</v>
      </c>
      <c r="I41">
        <v>0</v>
      </c>
      <c r="J41">
        <v>2004</v>
      </c>
      <c r="K41" t="s">
        <v>14</v>
      </c>
      <c r="L41" t="s">
        <v>26</v>
      </c>
      <c r="M41" t="str">
        <f>IF(J41&gt;2010,"Yes","No")</f>
        <v>No</v>
      </c>
      <c r="N41">
        <f>F41/D41</f>
        <v>3.5697230181470867</v>
      </c>
      <c r="O41">
        <f>E41/D41</f>
        <v>7.1829035339063987</v>
      </c>
    </row>
    <row r="42" spans="1:15" x14ac:dyDescent="0.3">
      <c r="A42" t="s">
        <v>493</v>
      </c>
      <c r="B42" t="s">
        <v>25</v>
      </c>
      <c r="C42">
        <v>2</v>
      </c>
      <c r="D42">
        <v>21.21</v>
      </c>
      <c r="E42">
        <v>101.98</v>
      </c>
      <c r="F42">
        <v>85.2</v>
      </c>
      <c r="G42">
        <v>624</v>
      </c>
      <c r="H42">
        <v>0.52</v>
      </c>
      <c r="I42">
        <v>0</v>
      </c>
      <c r="J42">
        <v>2007</v>
      </c>
      <c r="K42" t="s">
        <v>32</v>
      </c>
      <c r="L42" t="s">
        <v>23</v>
      </c>
      <c r="M42" t="str">
        <f>IF(J42&gt;2010,"Yes","No")</f>
        <v>No</v>
      </c>
      <c r="N42">
        <f>F42/D42</f>
        <v>4.0169731258840171</v>
      </c>
      <c r="O42">
        <f>E42/D42</f>
        <v>4.8081093823668084</v>
      </c>
    </row>
    <row r="43" spans="1:15" x14ac:dyDescent="0.3">
      <c r="A43" t="s">
        <v>174</v>
      </c>
      <c r="B43" t="s">
        <v>17</v>
      </c>
      <c r="C43">
        <v>2</v>
      </c>
      <c r="D43">
        <v>21.47</v>
      </c>
      <c r="E43">
        <v>217.33</v>
      </c>
      <c r="F43">
        <v>66.45</v>
      </c>
      <c r="G43">
        <v>3757</v>
      </c>
      <c r="H43">
        <v>5.12</v>
      </c>
      <c r="I43">
        <v>0</v>
      </c>
      <c r="J43">
        <v>2016</v>
      </c>
      <c r="K43" t="s">
        <v>14</v>
      </c>
      <c r="L43" t="s">
        <v>15</v>
      </c>
      <c r="M43" t="str">
        <f>IF(J43&gt;2010,"Yes","No")</f>
        <v>Yes</v>
      </c>
      <c r="N43">
        <f>F43/D43</f>
        <v>3.0950163018164885</v>
      </c>
      <c r="O43">
        <f>E43/D43</f>
        <v>10.122496506753611</v>
      </c>
    </row>
    <row r="44" spans="1:15" x14ac:dyDescent="0.3">
      <c r="A44" t="s">
        <v>405</v>
      </c>
      <c r="B44" t="s">
        <v>34</v>
      </c>
      <c r="C44">
        <v>3</v>
      </c>
      <c r="D44">
        <v>22.19</v>
      </c>
      <c r="E44">
        <v>169.45</v>
      </c>
      <c r="F44">
        <v>23.96</v>
      </c>
      <c r="G44">
        <v>3035</v>
      </c>
      <c r="H44">
        <v>5.26</v>
      </c>
      <c r="I44">
        <v>0</v>
      </c>
      <c r="J44">
        <v>2006</v>
      </c>
      <c r="K44" t="s">
        <v>41</v>
      </c>
      <c r="L44" t="s">
        <v>23</v>
      </c>
      <c r="M44" t="str">
        <f>IF(J44&gt;2010,"Yes","No")</f>
        <v>No</v>
      </c>
      <c r="N44">
        <f>F44/D44</f>
        <v>1.0797656602073005</v>
      </c>
      <c r="O44">
        <f>E44/D44</f>
        <v>7.6363226678684084</v>
      </c>
    </row>
    <row r="45" spans="1:15" x14ac:dyDescent="0.3">
      <c r="A45" t="s">
        <v>314</v>
      </c>
      <c r="B45" t="s">
        <v>13</v>
      </c>
      <c r="C45">
        <v>3</v>
      </c>
      <c r="D45">
        <v>22.87</v>
      </c>
      <c r="E45">
        <v>251.47</v>
      </c>
      <c r="F45">
        <v>16.989999999999998</v>
      </c>
      <c r="G45">
        <v>2262</v>
      </c>
      <c r="H45">
        <v>7.04</v>
      </c>
      <c r="I45">
        <v>1</v>
      </c>
      <c r="J45">
        <v>1991</v>
      </c>
      <c r="K45" t="s">
        <v>14</v>
      </c>
      <c r="L45" t="s">
        <v>15</v>
      </c>
      <c r="M45" t="str">
        <f>IF(J45&gt;2010,"Yes","No")</f>
        <v>No</v>
      </c>
      <c r="N45">
        <f>F45/D45</f>
        <v>0.74289462177525134</v>
      </c>
      <c r="O45">
        <f>E45/D45</f>
        <v>10.995627459554001</v>
      </c>
    </row>
    <row r="46" spans="1:15" x14ac:dyDescent="0.3">
      <c r="A46" t="s">
        <v>109</v>
      </c>
      <c r="B46" t="s">
        <v>25</v>
      </c>
      <c r="C46">
        <v>4</v>
      </c>
      <c r="D46">
        <v>23.24</v>
      </c>
      <c r="E46">
        <v>222.69</v>
      </c>
      <c r="F46">
        <v>78.040000000000006</v>
      </c>
      <c r="G46">
        <v>1850</v>
      </c>
      <c r="H46">
        <v>2.09</v>
      </c>
      <c r="I46">
        <v>0</v>
      </c>
      <c r="J46">
        <v>2009</v>
      </c>
      <c r="K46" t="s">
        <v>14</v>
      </c>
      <c r="L46" t="s">
        <v>23</v>
      </c>
      <c r="M46" t="str">
        <f>IF(J46&gt;2010,"Yes","No")</f>
        <v>No</v>
      </c>
      <c r="N46">
        <f>F46/D46</f>
        <v>3.3580034423407921</v>
      </c>
      <c r="O46">
        <f>E46/D46</f>
        <v>9.5821858864027547</v>
      </c>
    </row>
    <row r="47" spans="1:15" x14ac:dyDescent="0.3">
      <c r="A47" t="s">
        <v>110</v>
      </c>
      <c r="B47" t="s">
        <v>75</v>
      </c>
      <c r="C47">
        <v>2</v>
      </c>
      <c r="D47">
        <v>23.79</v>
      </c>
      <c r="E47">
        <v>241.65</v>
      </c>
      <c r="F47">
        <v>0.8</v>
      </c>
      <c r="G47">
        <v>1713</v>
      </c>
      <c r="H47">
        <v>2.12</v>
      </c>
      <c r="I47">
        <v>0</v>
      </c>
      <c r="J47">
        <v>1995</v>
      </c>
      <c r="K47" t="s">
        <v>18</v>
      </c>
      <c r="L47" t="s">
        <v>15</v>
      </c>
      <c r="M47" t="str">
        <f>IF(J47&gt;2010,"Yes","No")</f>
        <v>No</v>
      </c>
      <c r="N47">
        <f>F47/D47</f>
        <v>3.3627574611181169E-2</v>
      </c>
      <c r="O47">
        <f>E47/D47</f>
        <v>10.157629255989912</v>
      </c>
    </row>
    <row r="48" spans="1:15" x14ac:dyDescent="0.3">
      <c r="A48" t="s">
        <v>456</v>
      </c>
      <c r="B48" t="s">
        <v>39</v>
      </c>
      <c r="C48">
        <v>4</v>
      </c>
      <c r="D48">
        <v>24.92</v>
      </c>
      <c r="E48">
        <v>121.6</v>
      </c>
      <c r="F48">
        <v>80.06</v>
      </c>
      <c r="G48">
        <v>2998</v>
      </c>
      <c r="H48">
        <v>9.34</v>
      </c>
      <c r="I48">
        <v>0</v>
      </c>
      <c r="J48">
        <v>2001</v>
      </c>
      <c r="K48" t="s">
        <v>41</v>
      </c>
      <c r="L48" t="s">
        <v>15</v>
      </c>
      <c r="M48" t="str">
        <f>IF(J48&gt;2010,"Yes","No")</f>
        <v>No</v>
      </c>
      <c r="N48">
        <f>F48/D48</f>
        <v>3.2126805778491172</v>
      </c>
      <c r="O48">
        <f>E48/D48</f>
        <v>4.8796147672552159</v>
      </c>
    </row>
    <row r="49" spans="1:15" x14ac:dyDescent="0.3">
      <c r="A49" t="s">
        <v>408</v>
      </c>
      <c r="B49" t="s">
        <v>17</v>
      </c>
      <c r="C49">
        <v>3</v>
      </c>
      <c r="D49">
        <v>25.21</v>
      </c>
      <c r="E49">
        <v>344.69</v>
      </c>
      <c r="F49">
        <v>47.35</v>
      </c>
      <c r="G49">
        <v>3290</v>
      </c>
      <c r="H49">
        <v>3.51</v>
      </c>
      <c r="I49">
        <v>0</v>
      </c>
      <c r="J49">
        <v>2009</v>
      </c>
      <c r="K49" t="s">
        <v>18</v>
      </c>
      <c r="L49" t="s">
        <v>26</v>
      </c>
      <c r="M49" t="str">
        <f>IF(J49&gt;2010,"Yes","No")</f>
        <v>No</v>
      </c>
      <c r="N49">
        <f>F49/D49</f>
        <v>1.8782229274097579</v>
      </c>
      <c r="O49">
        <f>E49/D49</f>
        <v>13.67274890916303</v>
      </c>
    </row>
    <row r="50" spans="1:15" x14ac:dyDescent="0.3">
      <c r="A50" t="s">
        <v>290</v>
      </c>
      <c r="B50" t="s">
        <v>17</v>
      </c>
      <c r="C50">
        <v>1</v>
      </c>
      <c r="D50">
        <v>25.69</v>
      </c>
      <c r="E50">
        <v>270.64999999999998</v>
      </c>
      <c r="F50">
        <v>31.56</v>
      </c>
      <c r="G50">
        <v>4123</v>
      </c>
      <c r="H50">
        <v>3.92</v>
      </c>
      <c r="I50">
        <v>0</v>
      </c>
      <c r="J50">
        <v>2009</v>
      </c>
      <c r="K50" t="s">
        <v>41</v>
      </c>
      <c r="L50" t="s">
        <v>23</v>
      </c>
      <c r="M50" t="str">
        <f>IF(J50&gt;2010,"Yes","No")</f>
        <v>No</v>
      </c>
      <c r="N50">
        <f>F50/D50</f>
        <v>1.228493577267419</v>
      </c>
      <c r="O50">
        <f>E50/D50</f>
        <v>10.535227715064226</v>
      </c>
    </row>
    <row r="51" spans="1:15" x14ac:dyDescent="0.3">
      <c r="A51" t="s">
        <v>121</v>
      </c>
      <c r="B51" t="s">
        <v>75</v>
      </c>
      <c r="C51">
        <v>2</v>
      </c>
      <c r="D51">
        <v>26.47</v>
      </c>
      <c r="E51">
        <v>348.5</v>
      </c>
      <c r="F51">
        <v>27.64</v>
      </c>
      <c r="G51">
        <v>562</v>
      </c>
      <c r="H51">
        <v>6.14</v>
      </c>
      <c r="I51">
        <v>0</v>
      </c>
      <c r="J51">
        <v>2011</v>
      </c>
      <c r="K51" t="s">
        <v>41</v>
      </c>
      <c r="L51" t="s">
        <v>23</v>
      </c>
      <c r="M51" t="str">
        <f>IF(J51&gt;2010,"Yes","No")</f>
        <v>Yes</v>
      </c>
      <c r="N51">
        <f>F51/D51</f>
        <v>1.0442009822440499</v>
      </c>
      <c r="O51">
        <f>E51/D51</f>
        <v>13.165848129958444</v>
      </c>
    </row>
    <row r="52" spans="1:15" x14ac:dyDescent="0.3">
      <c r="A52" t="s">
        <v>177</v>
      </c>
      <c r="B52" t="s">
        <v>17</v>
      </c>
      <c r="C52">
        <v>3</v>
      </c>
      <c r="D52">
        <v>27.02</v>
      </c>
      <c r="E52">
        <v>137.72999999999999</v>
      </c>
      <c r="F52">
        <v>86.21</v>
      </c>
      <c r="G52">
        <v>1314</v>
      </c>
      <c r="H52">
        <v>0.26</v>
      </c>
      <c r="I52">
        <v>0</v>
      </c>
      <c r="J52">
        <v>1996</v>
      </c>
      <c r="K52" t="s">
        <v>28</v>
      </c>
      <c r="L52" t="s">
        <v>15</v>
      </c>
      <c r="M52" t="str">
        <f>IF(J52&gt;2010,"Yes","No")</f>
        <v>No</v>
      </c>
      <c r="N52">
        <f>F52/D52</f>
        <v>3.1905995558845297</v>
      </c>
      <c r="O52">
        <f>E52/D52</f>
        <v>5.0973353071798666</v>
      </c>
    </row>
    <row r="53" spans="1:15" x14ac:dyDescent="0.3">
      <c r="A53" t="s">
        <v>81</v>
      </c>
      <c r="B53" t="s">
        <v>75</v>
      </c>
      <c r="C53">
        <v>1</v>
      </c>
      <c r="D53">
        <v>27.56</v>
      </c>
      <c r="E53">
        <v>303.26</v>
      </c>
      <c r="F53">
        <v>68.62</v>
      </c>
      <c r="G53">
        <v>143</v>
      </c>
      <c r="H53">
        <v>2.63</v>
      </c>
      <c r="I53">
        <v>1</v>
      </c>
      <c r="J53">
        <v>1997</v>
      </c>
      <c r="K53" t="s">
        <v>14</v>
      </c>
      <c r="L53" t="s">
        <v>23</v>
      </c>
      <c r="M53" t="str">
        <f>IF(J53&gt;2010,"Yes","No")</f>
        <v>No</v>
      </c>
      <c r="N53">
        <f>F53/D53</f>
        <v>2.4898403483309148</v>
      </c>
      <c r="O53">
        <f>E53/D53</f>
        <v>11.003628447024674</v>
      </c>
    </row>
    <row r="54" spans="1:15" x14ac:dyDescent="0.3">
      <c r="A54" t="s">
        <v>361</v>
      </c>
      <c r="B54" t="s">
        <v>75</v>
      </c>
      <c r="C54">
        <v>5</v>
      </c>
      <c r="D54">
        <v>27.8</v>
      </c>
      <c r="E54">
        <v>142.41</v>
      </c>
      <c r="F54">
        <v>28.6</v>
      </c>
      <c r="G54">
        <v>2069</v>
      </c>
      <c r="H54">
        <v>5.05</v>
      </c>
      <c r="I54">
        <v>1</v>
      </c>
      <c r="J54">
        <v>1996</v>
      </c>
      <c r="K54" t="s">
        <v>14</v>
      </c>
      <c r="L54" t="s">
        <v>23</v>
      </c>
      <c r="M54" t="str">
        <f>IF(J54&gt;2010,"Yes","No")</f>
        <v>No</v>
      </c>
      <c r="N54">
        <f>F54/D54</f>
        <v>1.0287769784172662</v>
      </c>
      <c r="O54">
        <f>E54/D54</f>
        <v>5.1226618705035971</v>
      </c>
    </row>
    <row r="55" spans="1:15" x14ac:dyDescent="0.3">
      <c r="A55" t="s">
        <v>183</v>
      </c>
      <c r="B55" t="s">
        <v>17</v>
      </c>
      <c r="C55">
        <v>1</v>
      </c>
      <c r="D55">
        <v>27.96</v>
      </c>
      <c r="E55">
        <v>185.23</v>
      </c>
      <c r="F55">
        <v>35.659999999999997</v>
      </c>
      <c r="G55">
        <v>4213</v>
      </c>
      <c r="H55">
        <v>1.07</v>
      </c>
      <c r="I55">
        <v>0</v>
      </c>
      <c r="J55">
        <v>1997</v>
      </c>
      <c r="K55" t="s">
        <v>14</v>
      </c>
      <c r="L55" t="s">
        <v>23</v>
      </c>
      <c r="M55" t="str">
        <f>IF(J55&gt;2010,"Yes","No")</f>
        <v>No</v>
      </c>
      <c r="N55">
        <f>F55/D55</f>
        <v>1.275393419170243</v>
      </c>
      <c r="O55">
        <f>E55/D55</f>
        <v>6.6248211731044346</v>
      </c>
    </row>
    <row r="56" spans="1:15" x14ac:dyDescent="0.3">
      <c r="A56" t="s">
        <v>500</v>
      </c>
      <c r="B56" t="s">
        <v>25</v>
      </c>
      <c r="C56">
        <v>1</v>
      </c>
      <c r="D56">
        <v>29.03</v>
      </c>
      <c r="E56">
        <v>139.88999999999999</v>
      </c>
      <c r="F56">
        <v>38.49</v>
      </c>
      <c r="G56">
        <v>249</v>
      </c>
      <c r="H56">
        <v>4.5599999999999996</v>
      </c>
      <c r="I56">
        <v>1</v>
      </c>
      <c r="J56">
        <v>1993</v>
      </c>
      <c r="K56" t="s">
        <v>14</v>
      </c>
      <c r="L56" t="s">
        <v>26</v>
      </c>
      <c r="M56" t="str">
        <f>IF(J56&gt;2010,"Yes","No")</f>
        <v>No</v>
      </c>
      <c r="N56">
        <f>F56/D56</f>
        <v>1.3258697898725456</v>
      </c>
      <c r="O56">
        <f>E56/D56</f>
        <v>4.8188081295211846</v>
      </c>
    </row>
    <row r="57" spans="1:15" x14ac:dyDescent="0.3">
      <c r="A57" t="s">
        <v>495</v>
      </c>
      <c r="B57" t="s">
        <v>39</v>
      </c>
      <c r="C57">
        <v>1</v>
      </c>
      <c r="D57">
        <v>29.67</v>
      </c>
      <c r="E57">
        <v>236.2</v>
      </c>
      <c r="F57">
        <v>7.85</v>
      </c>
      <c r="G57">
        <v>801</v>
      </c>
      <c r="H57">
        <v>1.9</v>
      </c>
      <c r="I57">
        <v>1</v>
      </c>
      <c r="J57">
        <v>1999</v>
      </c>
      <c r="K57" t="s">
        <v>32</v>
      </c>
      <c r="L57" t="s">
        <v>15</v>
      </c>
      <c r="M57" t="str">
        <f>IF(J57&gt;2010,"Yes","No")</f>
        <v>No</v>
      </c>
      <c r="N57">
        <f>F57/D57</f>
        <v>0.26457701381867205</v>
      </c>
      <c r="O57">
        <f>E57/D57</f>
        <v>7.9609032692955841</v>
      </c>
    </row>
    <row r="58" spans="1:15" x14ac:dyDescent="0.3">
      <c r="A58" t="s">
        <v>331</v>
      </c>
      <c r="B58" t="s">
        <v>25</v>
      </c>
      <c r="C58">
        <v>1</v>
      </c>
      <c r="D58">
        <v>31.11</v>
      </c>
      <c r="E58">
        <v>237.6</v>
      </c>
      <c r="F58">
        <v>69.959999999999994</v>
      </c>
      <c r="G58">
        <v>1756</v>
      </c>
      <c r="H58">
        <v>3.4</v>
      </c>
      <c r="I58">
        <v>0</v>
      </c>
      <c r="J58">
        <v>2007</v>
      </c>
      <c r="K58" t="s">
        <v>18</v>
      </c>
      <c r="L58" t="s">
        <v>15</v>
      </c>
      <c r="M58" t="str">
        <f>IF(J58&gt;2010,"Yes","No")</f>
        <v>No</v>
      </c>
      <c r="N58">
        <f>F58/D58</f>
        <v>2.2487945998071357</v>
      </c>
      <c r="O58">
        <f>E58/D58</f>
        <v>7.6374156219864995</v>
      </c>
    </row>
    <row r="59" spans="1:15" x14ac:dyDescent="0.3">
      <c r="A59" t="s">
        <v>397</v>
      </c>
      <c r="B59" t="s">
        <v>39</v>
      </c>
      <c r="C59">
        <v>4</v>
      </c>
      <c r="D59">
        <v>31.29</v>
      </c>
      <c r="E59">
        <v>397.59</v>
      </c>
      <c r="F59">
        <v>98.39</v>
      </c>
      <c r="G59">
        <v>4584</v>
      </c>
      <c r="H59">
        <v>3.8</v>
      </c>
      <c r="I59">
        <v>0</v>
      </c>
      <c r="J59">
        <v>2000</v>
      </c>
      <c r="K59" t="s">
        <v>41</v>
      </c>
      <c r="L59" t="s">
        <v>15</v>
      </c>
      <c r="M59" t="str">
        <f>IF(J59&gt;2010,"Yes","No")</f>
        <v>No</v>
      </c>
      <c r="N59">
        <f>F59/D59</f>
        <v>3.1444550974752317</v>
      </c>
      <c r="O59">
        <f>E59/D59</f>
        <v>12.706615532118887</v>
      </c>
    </row>
    <row r="60" spans="1:15" x14ac:dyDescent="0.3">
      <c r="A60" t="s">
        <v>114</v>
      </c>
      <c r="B60" t="s">
        <v>39</v>
      </c>
      <c r="C60">
        <v>3</v>
      </c>
      <c r="D60">
        <v>31.38</v>
      </c>
      <c r="E60">
        <v>315.2</v>
      </c>
      <c r="F60">
        <v>39.94</v>
      </c>
      <c r="G60">
        <v>3737</v>
      </c>
      <c r="H60">
        <v>0.61</v>
      </c>
      <c r="I60">
        <v>1</v>
      </c>
      <c r="J60">
        <v>2021</v>
      </c>
      <c r="K60" t="s">
        <v>28</v>
      </c>
      <c r="L60" t="s">
        <v>23</v>
      </c>
      <c r="M60" t="str">
        <f>IF(J60&gt;2010,"Yes","No")</f>
        <v>Yes</v>
      </c>
      <c r="N60">
        <f>F60/D60</f>
        <v>1.272785213511791</v>
      </c>
      <c r="O60">
        <f>E60/D60</f>
        <v>10.044614404079031</v>
      </c>
    </row>
    <row r="61" spans="1:15" x14ac:dyDescent="0.3">
      <c r="A61" t="s">
        <v>274</v>
      </c>
      <c r="B61" t="s">
        <v>30</v>
      </c>
      <c r="C61">
        <v>4</v>
      </c>
      <c r="D61">
        <v>32.200000000000003</v>
      </c>
      <c r="E61">
        <v>243.78</v>
      </c>
      <c r="F61">
        <v>8.81</v>
      </c>
      <c r="G61">
        <v>2629</v>
      </c>
      <c r="H61">
        <v>5.88</v>
      </c>
      <c r="I61">
        <v>0</v>
      </c>
      <c r="J61">
        <v>1996</v>
      </c>
      <c r="K61" t="s">
        <v>41</v>
      </c>
      <c r="L61" t="s">
        <v>15</v>
      </c>
      <c r="M61" t="str">
        <f>IF(J61&gt;2010,"Yes","No")</f>
        <v>No</v>
      </c>
      <c r="N61">
        <f>F61/D61</f>
        <v>0.27360248447204966</v>
      </c>
      <c r="O61">
        <f>E61/D61</f>
        <v>7.5708074534161485</v>
      </c>
    </row>
    <row r="62" spans="1:15" x14ac:dyDescent="0.3">
      <c r="A62" t="s">
        <v>64</v>
      </c>
      <c r="B62" t="s">
        <v>13</v>
      </c>
      <c r="C62">
        <v>1</v>
      </c>
      <c r="D62">
        <v>32.42</v>
      </c>
      <c r="E62">
        <v>472.04</v>
      </c>
      <c r="F62">
        <v>82.53</v>
      </c>
      <c r="G62">
        <v>2357</v>
      </c>
      <c r="H62">
        <v>4.37</v>
      </c>
      <c r="I62">
        <v>0</v>
      </c>
      <c r="J62">
        <v>2021</v>
      </c>
      <c r="K62" t="s">
        <v>41</v>
      </c>
      <c r="L62" t="s">
        <v>15</v>
      </c>
      <c r="M62" t="str">
        <f>IF(J62&gt;2010,"Yes","No")</f>
        <v>Yes</v>
      </c>
      <c r="N62">
        <f>F62/D62</f>
        <v>2.5456508328192471</v>
      </c>
      <c r="O62">
        <f>E62/D62</f>
        <v>14.560148056755089</v>
      </c>
    </row>
    <row r="63" spans="1:15" x14ac:dyDescent="0.3">
      <c r="A63" t="s">
        <v>196</v>
      </c>
      <c r="B63" t="s">
        <v>17</v>
      </c>
      <c r="C63">
        <v>4</v>
      </c>
      <c r="D63">
        <v>33.29</v>
      </c>
      <c r="E63">
        <v>171.16</v>
      </c>
      <c r="F63">
        <v>25.62</v>
      </c>
      <c r="G63">
        <v>4748</v>
      </c>
      <c r="H63">
        <v>2.34</v>
      </c>
      <c r="I63">
        <v>1</v>
      </c>
      <c r="J63">
        <v>2018</v>
      </c>
      <c r="K63" t="s">
        <v>18</v>
      </c>
      <c r="L63" t="s">
        <v>15</v>
      </c>
      <c r="M63" t="str">
        <f>IF(J63&gt;2010,"Yes","No")</f>
        <v>Yes</v>
      </c>
      <c r="N63">
        <f>F63/D63</f>
        <v>0.76960048062481234</v>
      </c>
      <c r="O63">
        <f>E63/D63</f>
        <v>5.1414839291078405</v>
      </c>
    </row>
    <row r="64" spans="1:15" x14ac:dyDescent="0.3">
      <c r="A64" t="s">
        <v>254</v>
      </c>
      <c r="B64" t="s">
        <v>30</v>
      </c>
      <c r="C64">
        <v>1</v>
      </c>
      <c r="D64">
        <v>33.29</v>
      </c>
      <c r="E64">
        <v>289.58</v>
      </c>
      <c r="F64">
        <v>3.03</v>
      </c>
      <c r="G64">
        <v>57</v>
      </c>
      <c r="H64">
        <v>7.43</v>
      </c>
      <c r="I64">
        <v>0</v>
      </c>
      <c r="J64">
        <v>2021</v>
      </c>
      <c r="K64" t="s">
        <v>28</v>
      </c>
      <c r="L64" t="s">
        <v>15</v>
      </c>
      <c r="M64" t="str">
        <f>IF(J64&gt;2010,"Yes","No")</f>
        <v>Yes</v>
      </c>
      <c r="N64">
        <f>F64/D64</f>
        <v>9.1018323820967251E-2</v>
      </c>
      <c r="O64">
        <f>E64/D64</f>
        <v>8.6987083208170617</v>
      </c>
    </row>
    <row r="65" spans="1:15" x14ac:dyDescent="0.3">
      <c r="A65" t="s">
        <v>37</v>
      </c>
      <c r="B65" t="s">
        <v>13</v>
      </c>
      <c r="C65">
        <v>3</v>
      </c>
      <c r="D65">
        <v>34.71</v>
      </c>
      <c r="E65">
        <v>141.02000000000001</v>
      </c>
      <c r="F65">
        <v>0.28999999999999998</v>
      </c>
      <c r="G65">
        <v>4463</v>
      </c>
      <c r="H65">
        <v>5.18</v>
      </c>
      <c r="I65">
        <v>1</v>
      </c>
      <c r="J65">
        <v>2012</v>
      </c>
      <c r="K65" t="s">
        <v>28</v>
      </c>
      <c r="L65" t="s">
        <v>23</v>
      </c>
      <c r="M65" t="str">
        <f>IF(J65&gt;2010,"Yes","No")</f>
        <v>Yes</v>
      </c>
      <c r="N65">
        <f>F65/D65</f>
        <v>8.3549409392106016E-3</v>
      </c>
      <c r="O65">
        <f>E65/D65</f>
        <v>4.0628061077499282</v>
      </c>
    </row>
    <row r="66" spans="1:15" x14ac:dyDescent="0.3">
      <c r="A66" t="s">
        <v>143</v>
      </c>
      <c r="B66" t="s">
        <v>30</v>
      </c>
      <c r="C66">
        <v>3</v>
      </c>
      <c r="D66">
        <v>35.03</v>
      </c>
      <c r="E66">
        <v>186.87</v>
      </c>
      <c r="F66">
        <v>39.409999999999997</v>
      </c>
      <c r="G66">
        <v>3827</v>
      </c>
      <c r="H66">
        <v>3.68</v>
      </c>
      <c r="I66">
        <v>1</v>
      </c>
      <c r="J66">
        <v>2014</v>
      </c>
      <c r="K66" t="s">
        <v>18</v>
      </c>
      <c r="L66" t="s">
        <v>15</v>
      </c>
      <c r="M66" t="str">
        <f>IF(J66&gt;2010,"Yes","No")</f>
        <v>Yes</v>
      </c>
      <c r="N66">
        <f>F66/D66</f>
        <v>1.1250356836996858</v>
      </c>
      <c r="O66">
        <f>E66/D66</f>
        <v>5.3345703682557808</v>
      </c>
    </row>
    <row r="67" spans="1:15" x14ac:dyDescent="0.3">
      <c r="A67" t="s">
        <v>293</v>
      </c>
      <c r="B67" t="s">
        <v>30</v>
      </c>
      <c r="C67">
        <v>3</v>
      </c>
      <c r="D67">
        <v>35.200000000000003</v>
      </c>
      <c r="E67">
        <v>410.33</v>
      </c>
      <c r="F67">
        <v>16.8</v>
      </c>
      <c r="G67">
        <v>239</v>
      </c>
      <c r="H67">
        <v>9.4</v>
      </c>
      <c r="I67">
        <v>1</v>
      </c>
      <c r="J67">
        <v>2021</v>
      </c>
      <c r="K67" t="s">
        <v>32</v>
      </c>
      <c r="L67" t="s">
        <v>15</v>
      </c>
      <c r="M67" t="str">
        <f>IF(J67&gt;2010,"Yes","No")</f>
        <v>Yes</v>
      </c>
      <c r="N67">
        <f>F67/D67</f>
        <v>0.47727272727272724</v>
      </c>
      <c r="O67">
        <f>E67/D67</f>
        <v>11.657102272727272</v>
      </c>
    </row>
    <row r="68" spans="1:15" x14ac:dyDescent="0.3">
      <c r="A68" t="s">
        <v>214</v>
      </c>
      <c r="B68" t="s">
        <v>39</v>
      </c>
      <c r="C68">
        <v>1</v>
      </c>
      <c r="D68">
        <v>36.54</v>
      </c>
      <c r="E68">
        <v>374.12</v>
      </c>
      <c r="F68">
        <v>9.49</v>
      </c>
      <c r="G68">
        <v>914</v>
      </c>
      <c r="H68">
        <v>3.97</v>
      </c>
      <c r="I68">
        <v>0</v>
      </c>
      <c r="J68">
        <v>2008</v>
      </c>
      <c r="K68" t="s">
        <v>32</v>
      </c>
      <c r="L68" t="s">
        <v>15</v>
      </c>
      <c r="M68" t="str">
        <f>IF(J68&gt;2010,"Yes","No")</f>
        <v>No</v>
      </c>
      <c r="N68">
        <f>F68/D68</f>
        <v>0.25971538040503561</v>
      </c>
      <c r="O68">
        <f>E68/D68</f>
        <v>10.23864258347017</v>
      </c>
    </row>
    <row r="69" spans="1:15" x14ac:dyDescent="0.3">
      <c r="A69" t="s">
        <v>140</v>
      </c>
      <c r="B69" t="s">
        <v>75</v>
      </c>
      <c r="C69">
        <v>3</v>
      </c>
      <c r="D69">
        <v>36.6</v>
      </c>
      <c r="E69">
        <v>276.73</v>
      </c>
      <c r="F69">
        <v>54.88</v>
      </c>
      <c r="G69">
        <v>4182</v>
      </c>
      <c r="H69">
        <v>2.76</v>
      </c>
      <c r="I69">
        <v>1</v>
      </c>
      <c r="J69">
        <v>1994</v>
      </c>
      <c r="K69" t="s">
        <v>32</v>
      </c>
      <c r="L69" t="s">
        <v>15</v>
      </c>
      <c r="M69" t="str">
        <f>IF(J69&gt;2010,"Yes","No")</f>
        <v>No</v>
      </c>
      <c r="N69">
        <f>F69/D69</f>
        <v>1.4994535519125682</v>
      </c>
      <c r="O69">
        <f>E69/D69</f>
        <v>7.5609289617486342</v>
      </c>
    </row>
    <row r="70" spans="1:15" x14ac:dyDescent="0.3">
      <c r="A70" t="s">
        <v>419</v>
      </c>
      <c r="B70" t="s">
        <v>13</v>
      </c>
      <c r="C70">
        <v>5</v>
      </c>
      <c r="D70">
        <v>37.700000000000003</v>
      </c>
      <c r="E70">
        <v>160.77000000000001</v>
      </c>
      <c r="F70">
        <v>28.56</v>
      </c>
      <c r="G70">
        <v>520</v>
      </c>
      <c r="H70">
        <v>7.43</v>
      </c>
      <c r="I70">
        <v>0</v>
      </c>
      <c r="J70">
        <v>1998</v>
      </c>
      <c r="K70" t="s">
        <v>28</v>
      </c>
      <c r="L70" t="s">
        <v>15</v>
      </c>
      <c r="M70" t="str">
        <f>IF(J70&gt;2010,"Yes","No")</f>
        <v>No</v>
      </c>
      <c r="N70">
        <f>F70/D70</f>
        <v>0.75755968169761267</v>
      </c>
      <c r="O70">
        <f>E70/D70</f>
        <v>4.2644562334217504</v>
      </c>
    </row>
    <row r="71" spans="1:15" x14ac:dyDescent="0.3">
      <c r="A71" t="s">
        <v>198</v>
      </c>
      <c r="B71" t="s">
        <v>25</v>
      </c>
      <c r="C71">
        <v>2</v>
      </c>
      <c r="D71">
        <v>37.770000000000003</v>
      </c>
      <c r="E71">
        <v>217.67</v>
      </c>
      <c r="F71">
        <v>56.06</v>
      </c>
      <c r="G71">
        <v>205</v>
      </c>
      <c r="H71">
        <v>8.11</v>
      </c>
      <c r="I71">
        <v>0</v>
      </c>
      <c r="J71">
        <v>2004</v>
      </c>
      <c r="K71" t="s">
        <v>32</v>
      </c>
      <c r="L71" t="s">
        <v>15</v>
      </c>
      <c r="M71" t="str">
        <f>IF(J71&gt;2010,"Yes","No")</f>
        <v>No</v>
      </c>
      <c r="N71">
        <f>F71/D71</f>
        <v>1.4842467566851998</v>
      </c>
      <c r="O71">
        <f>E71/D71</f>
        <v>5.7630394492983843</v>
      </c>
    </row>
    <row r="72" spans="1:15" x14ac:dyDescent="0.3">
      <c r="A72" t="s">
        <v>297</v>
      </c>
      <c r="B72" t="s">
        <v>25</v>
      </c>
      <c r="C72">
        <v>4</v>
      </c>
      <c r="D72">
        <v>38.97</v>
      </c>
      <c r="E72">
        <v>267.74</v>
      </c>
      <c r="F72">
        <v>7.8</v>
      </c>
      <c r="G72">
        <v>3528</v>
      </c>
      <c r="H72">
        <v>7.42</v>
      </c>
      <c r="I72">
        <v>1</v>
      </c>
      <c r="J72">
        <v>2005</v>
      </c>
      <c r="K72" t="s">
        <v>41</v>
      </c>
      <c r="L72" t="s">
        <v>15</v>
      </c>
      <c r="M72" t="str">
        <f>IF(J72&gt;2010,"Yes","No")</f>
        <v>No</v>
      </c>
      <c r="N72">
        <f>F72/D72</f>
        <v>0.20015396458814472</v>
      </c>
      <c r="O72">
        <f>E72/D72</f>
        <v>6.8704131383115223</v>
      </c>
    </row>
    <row r="73" spans="1:15" x14ac:dyDescent="0.3">
      <c r="A73" t="s">
        <v>339</v>
      </c>
      <c r="B73" t="s">
        <v>30</v>
      </c>
      <c r="C73">
        <v>3</v>
      </c>
      <c r="D73">
        <v>39.83</v>
      </c>
      <c r="E73">
        <v>325.17</v>
      </c>
      <c r="F73">
        <v>45.04</v>
      </c>
      <c r="G73">
        <v>3609</v>
      </c>
      <c r="H73">
        <v>2.61</v>
      </c>
      <c r="I73">
        <v>1</v>
      </c>
      <c r="J73">
        <v>2005</v>
      </c>
      <c r="K73" t="s">
        <v>32</v>
      </c>
      <c r="L73" t="s">
        <v>15</v>
      </c>
      <c r="M73" t="str">
        <f>IF(J73&gt;2010,"Yes","No")</f>
        <v>No</v>
      </c>
      <c r="N73">
        <f>F73/D73</f>
        <v>1.1308059251820237</v>
      </c>
      <c r="O73">
        <f>E73/D73</f>
        <v>8.1639467737886022</v>
      </c>
    </row>
    <row r="74" spans="1:15" x14ac:dyDescent="0.3">
      <c r="A74" t="s">
        <v>52</v>
      </c>
      <c r="B74" t="s">
        <v>13</v>
      </c>
      <c r="C74">
        <v>3</v>
      </c>
      <c r="D74">
        <v>40.119999999999997</v>
      </c>
      <c r="E74">
        <v>285.33</v>
      </c>
      <c r="F74">
        <v>5.38</v>
      </c>
      <c r="G74">
        <v>790</v>
      </c>
      <c r="H74">
        <v>8.49</v>
      </c>
      <c r="I74">
        <v>1</v>
      </c>
      <c r="J74">
        <v>2002</v>
      </c>
      <c r="K74" t="s">
        <v>32</v>
      </c>
      <c r="L74" t="s">
        <v>23</v>
      </c>
      <c r="M74" t="str">
        <f>IF(J74&gt;2010,"Yes","No")</f>
        <v>No</v>
      </c>
      <c r="N74">
        <f>F74/D74</f>
        <v>0.13409770687936193</v>
      </c>
      <c r="O74">
        <f>E74/D74</f>
        <v>7.1119142572283147</v>
      </c>
    </row>
    <row r="75" spans="1:15" x14ac:dyDescent="0.3">
      <c r="A75" t="s">
        <v>92</v>
      </c>
      <c r="B75" t="s">
        <v>75</v>
      </c>
      <c r="C75">
        <v>2</v>
      </c>
      <c r="D75">
        <v>40.93</v>
      </c>
      <c r="E75">
        <v>176.38</v>
      </c>
      <c r="F75">
        <v>58.69</v>
      </c>
      <c r="G75">
        <v>2156</v>
      </c>
      <c r="H75">
        <v>0.56999999999999995</v>
      </c>
      <c r="I75">
        <v>1</v>
      </c>
      <c r="J75">
        <v>2007</v>
      </c>
      <c r="K75" t="s">
        <v>41</v>
      </c>
      <c r="L75" t="s">
        <v>23</v>
      </c>
      <c r="M75" t="str">
        <f>IF(J75&gt;2010,"Yes","No")</f>
        <v>No</v>
      </c>
      <c r="N75">
        <f>F75/D75</f>
        <v>1.4339115563156608</v>
      </c>
      <c r="O75">
        <f>E75/D75</f>
        <v>4.3093085756169067</v>
      </c>
    </row>
    <row r="76" spans="1:15" x14ac:dyDescent="0.3">
      <c r="A76" t="s">
        <v>65</v>
      </c>
      <c r="B76" t="s">
        <v>17</v>
      </c>
      <c r="C76">
        <v>5</v>
      </c>
      <c r="D76">
        <v>42.44</v>
      </c>
      <c r="E76">
        <v>257.33999999999997</v>
      </c>
      <c r="F76">
        <v>52.08</v>
      </c>
      <c r="G76">
        <v>1937</v>
      </c>
      <c r="H76">
        <v>7.22</v>
      </c>
      <c r="I76">
        <v>1</v>
      </c>
      <c r="J76">
        <v>2002</v>
      </c>
      <c r="K76" t="s">
        <v>41</v>
      </c>
      <c r="L76" t="s">
        <v>15</v>
      </c>
      <c r="M76" t="str">
        <f>IF(J76&gt;2010,"Yes","No")</f>
        <v>No</v>
      </c>
      <c r="N76">
        <f>F76/D76</f>
        <v>1.227144203581527</v>
      </c>
      <c r="O76">
        <f>E76/D76</f>
        <v>6.0636192271442031</v>
      </c>
    </row>
    <row r="77" spans="1:15" x14ac:dyDescent="0.3">
      <c r="A77" t="s">
        <v>516</v>
      </c>
      <c r="B77" t="s">
        <v>34</v>
      </c>
      <c r="C77">
        <v>5</v>
      </c>
      <c r="D77">
        <v>44.15</v>
      </c>
      <c r="E77">
        <v>564.29999999999995</v>
      </c>
      <c r="F77">
        <v>94.67</v>
      </c>
      <c r="G77">
        <v>3120</v>
      </c>
      <c r="H77">
        <v>3.85</v>
      </c>
      <c r="I77">
        <v>0</v>
      </c>
      <c r="J77">
        <v>2017</v>
      </c>
      <c r="K77" t="s">
        <v>28</v>
      </c>
      <c r="L77" t="s">
        <v>15</v>
      </c>
      <c r="M77" t="str">
        <f>IF(J77&gt;2010,"Yes","No")</f>
        <v>Yes</v>
      </c>
      <c r="N77">
        <f>F77/D77</f>
        <v>2.144280860702152</v>
      </c>
      <c r="O77">
        <f>E77/D77</f>
        <v>12.781426953567383</v>
      </c>
    </row>
    <row r="78" spans="1:15" x14ac:dyDescent="0.3">
      <c r="A78" t="s">
        <v>396</v>
      </c>
      <c r="B78" t="s">
        <v>13</v>
      </c>
      <c r="C78">
        <v>4</v>
      </c>
      <c r="D78">
        <v>44.2</v>
      </c>
      <c r="E78">
        <v>632.67999999999995</v>
      </c>
      <c r="F78">
        <v>47.34</v>
      </c>
      <c r="G78">
        <v>724</v>
      </c>
      <c r="H78">
        <v>6.36</v>
      </c>
      <c r="I78">
        <v>0</v>
      </c>
      <c r="J78">
        <v>2013</v>
      </c>
      <c r="K78" t="s">
        <v>28</v>
      </c>
      <c r="L78" t="s">
        <v>15</v>
      </c>
      <c r="M78" t="str">
        <f>IF(J78&gt;2010,"Yes","No")</f>
        <v>Yes</v>
      </c>
      <c r="N78">
        <f>F78/D78</f>
        <v>1.0710407239819004</v>
      </c>
      <c r="O78">
        <f>E78/D78</f>
        <v>14.314027149321264</v>
      </c>
    </row>
    <row r="79" spans="1:15" x14ac:dyDescent="0.3">
      <c r="A79" t="s">
        <v>384</v>
      </c>
      <c r="B79" t="s">
        <v>30</v>
      </c>
      <c r="C79">
        <v>2</v>
      </c>
      <c r="D79">
        <v>45.3</v>
      </c>
      <c r="E79">
        <v>205.05</v>
      </c>
      <c r="F79">
        <v>17.14</v>
      </c>
      <c r="G79">
        <v>2797</v>
      </c>
      <c r="H79">
        <v>0.18</v>
      </c>
      <c r="I79">
        <v>1</v>
      </c>
      <c r="J79">
        <v>2020</v>
      </c>
      <c r="K79" t="s">
        <v>14</v>
      </c>
      <c r="L79" t="s">
        <v>23</v>
      </c>
      <c r="M79" t="str">
        <f>IF(J79&gt;2010,"Yes","No")</f>
        <v>Yes</v>
      </c>
      <c r="N79">
        <f>F79/D79</f>
        <v>0.37836644591611485</v>
      </c>
      <c r="O79">
        <f>E79/D79</f>
        <v>4.5264900662251657</v>
      </c>
    </row>
    <row r="80" spans="1:15" x14ac:dyDescent="0.3">
      <c r="A80" t="s">
        <v>362</v>
      </c>
      <c r="B80" t="s">
        <v>25</v>
      </c>
      <c r="C80">
        <v>4</v>
      </c>
      <c r="D80">
        <v>46.52</v>
      </c>
      <c r="E80">
        <v>355.64</v>
      </c>
      <c r="F80">
        <v>42.98</v>
      </c>
      <c r="G80">
        <v>3856</v>
      </c>
      <c r="H80">
        <v>7.87</v>
      </c>
      <c r="I80">
        <v>0</v>
      </c>
      <c r="J80">
        <v>2021</v>
      </c>
      <c r="K80" t="s">
        <v>28</v>
      </c>
      <c r="L80" t="s">
        <v>15</v>
      </c>
      <c r="M80" t="str">
        <f>IF(J80&gt;2010,"Yes","No")</f>
        <v>Yes</v>
      </c>
      <c r="N80">
        <f>F80/D80</f>
        <v>0.92390369733447963</v>
      </c>
      <c r="O80">
        <f>E80/D80</f>
        <v>7.6448839208942383</v>
      </c>
    </row>
    <row r="81" spans="1:15" x14ac:dyDescent="0.3">
      <c r="A81" t="s">
        <v>100</v>
      </c>
      <c r="B81" t="s">
        <v>25</v>
      </c>
      <c r="C81">
        <v>5</v>
      </c>
      <c r="D81">
        <v>46.82</v>
      </c>
      <c r="E81">
        <v>628.64</v>
      </c>
      <c r="F81">
        <v>46.23</v>
      </c>
      <c r="G81">
        <v>661</v>
      </c>
      <c r="H81">
        <v>2.97</v>
      </c>
      <c r="I81">
        <v>1</v>
      </c>
      <c r="J81">
        <v>2018</v>
      </c>
      <c r="K81" t="s">
        <v>28</v>
      </c>
      <c r="L81" t="s">
        <v>15</v>
      </c>
      <c r="M81" t="str">
        <f>IF(J81&gt;2010,"Yes","No")</f>
        <v>Yes</v>
      </c>
      <c r="N81">
        <f>F81/D81</f>
        <v>0.98739854762921819</v>
      </c>
      <c r="O81">
        <f>E81/D81</f>
        <v>13.426740709098675</v>
      </c>
    </row>
    <row r="82" spans="1:15" x14ac:dyDescent="0.3">
      <c r="A82" t="s">
        <v>269</v>
      </c>
      <c r="B82" t="s">
        <v>39</v>
      </c>
      <c r="C82">
        <v>4</v>
      </c>
      <c r="D82">
        <v>47.62</v>
      </c>
      <c r="E82">
        <v>233.89</v>
      </c>
      <c r="F82">
        <v>81.94</v>
      </c>
      <c r="G82">
        <v>822</v>
      </c>
      <c r="H82">
        <v>7.07</v>
      </c>
      <c r="I82">
        <v>0</v>
      </c>
      <c r="J82">
        <v>2000</v>
      </c>
      <c r="K82" t="s">
        <v>14</v>
      </c>
      <c r="L82" t="s">
        <v>23</v>
      </c>
      <c r="M82" t="str">
        <f>IF(J82&gt;2010,"Yes","No")</f>
        <v>No</v>
      </c>
      <c r="N82">
        <f>F82/D82</f>
        <v>1.7207055858882823</v>
      </c>
      <c r="O82">
        <f>E82/D82</f>
        <v>4.9115917681646364</v>
      </c>
    </row>
    <row r="83" spans="1:15" x14ac:dyDescent="0.3">
      <c r="A83" t="s">
        <v>328</v>
      </c>
      <c r="B83" t="s">
        <v>25</v>
      </c>
      <c r="C83">
        <v>5</v>
      </c>
      <c r="D83">
        <v>48.1</v>
      </c>
      <c r="E83">
        <v>154.51</v>
      </c>
      <c r="F83">
        <v>70.8</v>
      </c>
      <c r="G83">
        <v>1777</v>
      </c>
      <c r="H83">
        <v>6.01</v>
      </c>
      <c r="I83">
        <v>1</v>
      </c>
      <c r="J83">
        <v>2010</v>
      </c>
      <c r="K83" t="s">
        <v>18</v>
      </c>
      <c r="L83" t="s">
        <v>15</v>
      </c>
      <c r="M83" t="str">
        <f>IF(J83&gt;2010,"Yes","No")</f>
        <v>No</v>
      </c>
      <c r="N83">
        <f>F83/D83</f>
        <v>1.4719334719334718</v>
      </c>
      <c r="O83">
        <f>E83/D83</f>
        <v>3.212266112266112</v>
      </c>
    </row>
    <row r="84" spans="1:15" x14ac:dyDescent="0.3">
      <c r="A84" t="s">
        <v>359</v>
      </c>
      <c r="B84" t="s">
        <v>17</v>
      </c>
      <c r="C84">
        <v>2</v>
      </c>
      <c r="D84">
        <v>48.19</v>
      </c>
      <c r="E84">
        <v>448.46</v>
      </c>
      <c r="F84">
        <v>53.18</v>
      </c>
      <c r="G84">
        <v>2163</v>
      </c>
      <c r="H84">
        <v>7.86</v>
      </c>
      <c r="I84">
        <v>1</v>
      </c>
      <c r="J84">
        <v>2012</v>
      </c>
      <c r="K84" t="s">
        <v>28</v>
      </c>
      <c r="L84" t="s">
        <v>15</v>
      </c>
      <c r="M84" t="str">
        <f>IF(J84&gt;2010,"Yes","No")</f>
        <v>Yes</v>
      </c>
      <c r="N84">
        <f>F84/D84</f>
        <v>1.1035484540361071</v>
      </c>
      <c r="O84">
        <f>E84/D84</f>
        <v>9.3060800996057278</v>
      </c>
    </row>
    <row r="85" spans="1:15" x14ac:dyDescent="0.3">
      <c r="A85" t="s">
        <v>270</v>
      </c>
      <c r="B85" t="s">
        <v>34</v>
      </c>
      <c r="C85">
        <v>1</v>
      </c>
      <c r="D85">
        <v>48.54</v>
      </c>
      <c r="E85">
        <v>182.38</v>
      </c>
      <c r="F85">
        <v>87.99</v>
      </c>
      <c r="G85">
        <v>2442</v>
      </c>
      <c r="H85">
        <v>3.8</v>
      </c>
      <c r="I85">
        <v>1</v>
      </c>
      <c r="J85">
        <v>2017</v>
      </c>
      <c r="K85" t="s">
        <v>32</v>
      </c>
      <c r="L85" t="s">
        <v>15</v>
      </c>
      <c r="M85" t="str">
        <f>IF(J85&gt;2010,"Yes","No")</f>
        <v>Yes</v>
      </c>
      <c r="N85">
        <f>F85/D85</f>
        <v>1.8127317676143386</v>
      </c>
      <c r="O85">
        <f>E85/D85</f>
        <v>3.7573135558302431</v>
      </c>
    </row>
    <row r="86" spans="1:15" x14ac:dyDescent="0.3">
      <c r="A86" t="s">
        <v>378</v>
      </c>
      <c r="B86" t="s">
        <v>13</v>
      </c>
      <c r="C86">
        <v>3</v>
      </c>
      <c r="D86">
        <v>48.67</v>
      </c>
      <c r="E86">
        <v>362.93</v>
      </c>
      <c r="F86">
        <v>8.31</v>
      </c>
      <c r="G86">
        <v>2156</v>
      </c>
      <c r="H86">
        <v>9.43</v>
      </c>
      <c r="I86">
        <v>1</v>
      </c>
      <c r="J86">
        <v>2009</v>
      </c>
      <c r="K86" t="s">
        <v>32</v>
      </c>
      <c r="L86" t="s">
        <v>15</v>
      </c>
      <c r="M86" t="str">
        <f>IF(J86&gt;2010,"Yes","No")</f>
        <v>No</v>
      </c>
      <c r="N86">
        <f>F86/D86</f>
        <v>0.17074173001849188</v>
      </c>
      <c r="O86">
        <f>E86/D86</f>
        <v>7.4569550030819807</v>
      </c>
    </row>
    <row r="87" spans="1:15" x14ac:dyDescent="0.3">
      <c r="A87" t="s">
        <v>450</v>
      </c>
      <c r="B87" t="s">
        <v>25</v>
      </c>
      <c r="C87">
        <v>2</v>
      </c>
      <c r="D87">
        <v>48.92</v>
      </c>
      <c r="E87">
        <v>425.21</v>
      </c>
      <c r="F87">
        <v>71.790000000000006</v>
      </c>
      <c r="G87">
        <v>3318</v>
      </c>
      <c r="H87">
        <v>5.51</v>
      </c>
      <c r="I87">
        <v>1</v>
      </c>
      <c r="J87">
        <v>1990</v>
      </c>
      <c r="K87" t="s">
        <v>41</v>
      </c>
      <c r="L87" t="s">
        <v>15</v>
      </c>
      <c r="M87" t="str">
        <f>IF(J87&gt;2010,"Yes","No")</f>
        <v>No</v>
      </c>
      <c r="N87">
        <f>F87/D87</f>
        <v>1.4674979558462797</v>
      </c>
      <c r="O87">
        <f>E87/D87</f>
        <v>8.6919460343417825</v>
      </c>
    </row>
    <row r="88" spans="1:15" x14ac:dyDescent="0.3">
      <c r="A88" t="s">
        <v>96</v>
      </c>
      <c r="B88" t="s">
        <v>13</v>
      </c>
      <c r="C88">
        <v>2</v>
      </c>
      <c r="D88">
        <v>49.02</v>
      </c>
      <c r="E88">
        <v>404.81</v>
      </c>
      <c r="F88">
        <v>5.71</v>
      </c>
      <c r="G88">
        <v>4265</v>
      </c>
      <c r="H88">
        <v>8.27</v>
      </c>
      <c r="I88">
        <v>1</v>
      </c>
      <c r="J88">
        <v>1994</v>
      </c>
      <c r="K88" t="s">
        <v>28</v>
      </c>
      <c r="L88" t="s">
        <v>15</v>
      </c>
      <c r="M88" t="str">
        <f>IF(J88&gt;2010,"Yes","No")</f>
        <v>No</v>
      </c>
      <c r="N88">
        <f>F88/D88</f>
        <v>0.11648306813545491</v>
      </c>
      <c r="O88">
        <f>E88/D88</f>
        <v>8.2580579355365149</v>
      </c>
    </row>
    <row r="89" spans="1:15" x14ac:dyDescent="0.3">
      <c r="A89" t="s">
        <v>437</v>
      </c>
      <c r="B89" t="s">
        <v>39</v>
      </c>
      <c r="C89">
        <v>1</v>
      </c>
      <c r="D89">
        <v>49.62</v>
      </c>
      <c r="E89">
        <v>614.78</v>
      </c>
      <c r="F89">
        <v>16.600000000000001</v>
      </c>
      <c r="G89">
        <v>3769</v>
      </c>
      <c r="H89">
        <v>2.75</v>
      </c>
      <c r="I89">
        <v>0</v>
      </c>
      <c r="J89">
        <v>2009</v>
      </c>
      <c r="K89" t="s">
        <v>28</v>
      </c>
      <c r="L89" t="s">
        <v>15</v>
      </c>
      <c r="M89" t="str">
        <f>IF(J89&gt;2010,"Yes","No")</f>
        <v>No</v>
      </c>
      <c r="N89">
        <f>F89/D89</f>
        <v>0.3345425231761387</v>
      </c>
      <c r="O89">
        <f>E89/D89</f>
        <v>12.389762192664248</v>
      </c>
    </row>
    <row r="90" spans="1:15" x14ac:dyDescent="0.3">
      <c r="A90" t="s">
        <v>309</v>
      </c>
      <c r="B90" t="s">
        <v>30</v>
      </c>
      <c r="C90">
        <v>5</v>
      </c>
      <c r="D90">
        <v>50.33</v>
      </c>
      <c r="E90">
        <v>693.5</v>
      </c>
      <c r="F90">
        <v>6</v>
      </c>
      <c r="G90">
        <v>1524</v>
      </c>
      <c r="H90">
        <v>4.4400000000000004</v>
      </c>
      <c r="I90">
        <v>1</v>
      </c>
      <c r="J90">
        <v>2015</v>
      </c>
      <c r="K90" t="s">
        <v>41</v>
      </c>
      <c r="L90" t="s">
        <v>15</v>
      </c>
      <c r="M90" t="str">
        <f>IF(J90&gt;2010,"Yes","No")</f>
        <v>Yes</v>
      </c>
      <c r="N90">
        <f>F90/D90</f>
        <v>0.11921319292668389</v>
      </c>
      <c r="O90">
        <f>E90/D90</f>
        <v>13.77905821577588</v>
      </c>
    </row>
    <row r="91" spans="1:15" x14ac:dyDescent="0.3">
      <c r="A91" t="s">
        <v>306</v>
      </c>
      <c r="B91" t="s">
        <v>21</v>
      </c>
      <c r="C91">
        <v>3</v>
      </c>
      <c r="D91">
        <v>52.54</v>
      </c>
      <c r="E91">
        <v>355.42</v>
      </c>
      <c r="F91">
        <v>90.37</v>
      </c>
      <c r="G91">
        <v>1028</v>
      </c>
      <c r="H91">
        <v>8.6300000000000008</v>
      </c>
      <c r="I91">
        <v>1</v>
      </c>
      <c r="J91">
        <v>2001</v>
      </c>
      <c r="K91" t="s">
        <v>32</v>
      </c>
      <c r="L91" t="s">
        <v>15</v>
      </c>
      <c r="M91" t="str">
        <f>IF(J91&gt;2010,"Yes","No")</f>
        <v>No</v>
      </c>
      <c r="N91">
        <f>F91/D91</f>
        <v>1.7200228397411497</v>
      </c>
      <c r="O91">
        <f>E91/D91</f>
        <v>6.7647506661591175</v>
      </c>
    </row>
    <row r="92" spans="1:15" x14ac:dyDescent="0.3">
      <c r="A92" t="s">
        <v>462</v>
      </c>
      <c r="B92" t="s">
        <v>21</v>
      </c>
      <c r="C92">
        <v>1</v>
      </c>
      <c r="D92">
        <v>52.67</v>
      </c>
      <c r="E92">
        <v>505.69</v>
      </c>
      <c r="F92">
        <v>40.479999999999997</v>
      </c>
      <c r="G92">
        <v>2505</v>
      </c>
      <c r="H92">
        <v>6.82</v>
      </c>
      <c r="I92">
        <v>1</v>
      </c>
      <c r="J92">
        <v>2014</v>
      </c>
      <c r="K92" t="s">
        <v>28</v>
      </c>
      <c r="L92" t="s">
        <v>26</v>
      </c>
      <c r="M92" t="str">
        <f>IF(J92&gt;2010,"Yes","No")</f>
        <v>Yes</v>
      </c>
      <c r="N92">
        <f>F92/D92</f>
        <v>0.76855895196506541</v>
      </c>
      <c r="O92">
        <f>E92/D92</f>
        <v>9.6011011961268267</v>
      </c>
    </row>
    <row r="93" spans="1:15" x14ac:dyDescent="0.3">
      <c r="A93" t="s">
        <v>303</v>
      </c>
      <c r="B93" t="s">
        <v>17</v>
      </c>
      <c r="C93">
        <v>2</v>
      </c>
      <c r="D93">
        <v>54.26</v>
      </c>
      <c r="E93">
        <v>770.1</v>
      </c>
      <c r="F93">
        <v>76.34</v>
      </c>
      <c r="G93">
        <v>2862</v>
      </c>
      <c r="H93">
        <v>8.91</v>
      </c>
      <c r="I93">
        <v>0</v>
      </c>
      <c r="J93">
        <v>2015</v>
      </c>
      <c r="K93" t="s">
        <v>41</v>
      </c>
      <c r="L93" t="s">
        <v>15</v>
      </c>
      <c r="M93" t="str">
        <f>IF(J93&gt;2010,"Yes","No")</f>
        <v>Yes</v>
      </c>
      <c r="N93">
        <f>F93/D93</f>
        <v>1.406929598230741</v>
      </c>
      <c r="O93">
        <f>E93/D93</f>
        <v>14.192775525248804</v>
      </c>
    </row>
    <row r="94" spans="1:15" x14ac:dyDescent="0.3">
      <c r="A94" t="s">
        <v>43</v>
      </c>
      <c r="B94" t="s">
        <v>21</v>
      </c>
      <c r="C94">
        <v>2</v>
      </c>
      <c r="D94">
        <v>55.04</v>
      </c>
      <c r="E94">
        <v>427.58</v>
      </c>
      <c r="F94">
        <v>18.21</v>
      </c>
      <c r="G94">
        <v>2314</v>
      </c>
      <c r="H94">
        <v>0.42</v>
      </c>
      <c r="I94">
        <v>0</v>
      </c>
      <c r="J94">
        <v>2015</v>
      </c>
      <c r="K94" t="s">
        <v>14</v>
      </c>
      <c r="L94" t="s">
        <v>15</v>
      </c>
      <c r="M94" t="str">
        <f>IF(J94&gt;2010,"Yes","No")</f>
        <v>Yes</v>
      </c>
      <c r="N94">
        <f>F94/D94</f>
        <v>0.33085029069767447</v>
      </c>
      <c r="O94">
        <f>E94/D94</f>
        <v>7.7685319767441863</v>
      </c>
    </row>
    <row r="95" spans="1:15" x14ac:dyDescent="0.3">
      <c r="A95" t="s">
        <v>80</v>
      </c>
      <c r="B95" t="s">
        <v>17</v>
      </c>
      <c r="C95">
        <v>5</v>
      </c>
      <c r="D95">
        <v>55.72</v>
      </c>
      <c r="E95">
        <v>720.02</v>
      </c>
      <c r="F95">
        <v>17.91</v>
      </c>
      <c r="G95">
        <v>304</v>
      </c>
      <c r="H95">
        <v>2.12</v>
      </c>
      <c r="I95">
        <v>1</v>
      </c>
      <c r="J95">
        <v>1992</v>
      </c>
      <c r="K95" t="s">
        <v>32</v>
      </c>
      <c r="L95" t="s">
        <v>15</v>
      </c>
      <c r="M95" t="str">
        <f>IF(J95&gt;2010,"Yes","No")</f>
        <v>No</v>
      </c>
      <c r="N95">
        <f>F95/D95</f>
        <v>0.32142857142857145</v>
      </c>
      <c r="O95">
        <f>E95/D95</f>
        <v>12.922110552763819</v>
      </c>
    </row>
    <row r="96" spans="1:15" x14ac:dyDescent="0.3">
      <c r="A96" t="s">
        <v>370</v>
      </c>
      <c r="B96" t="s">
        <v>25</v>
      </c>
      <c r="C96">
        <v>5</v>
      </c>
      <c r="D96">
        <v>56.04</v>
      </c>
      <c r="E96">
        <v>295.69</v>
      </c>
      <c r="F96">
        <v>73.78</v>
      </c>
      <c r="G96">
        <v>2282</v>
      </c>
      <c r="H96">
        <v>2.88</v>
      </c>
      <c r="I96">
        <v>1</v>
      </c>
      <c r="J96">
        <v>2022</v>
      </c>
      <c r="K96" t="s">
        <v>18</v>
      </c>
      <c r="L96" t="s">
        <v>15</v>
      </c>
      <c r="M96" t="str">
        <f>IF(J96&gt;2010,"Yes","No")</f>
        <v>Yes</v>
      </c>
      <c r="N96">
        <f>F96/D96</f>
        <v>1.3165596002855104</v>
      </c>
      <c r="O96">
        <f>E96/D96</f>
        <v>5.2764097073518919</v>
      </c>
    </row>
    <row r="97" spans="1:15" x14ac:dyDescent="0.3">
      <c r="A97" t="s">
        <v>171</v>
      </c>
      <c r="B97" t="s">
        <v>25</v>
      </c>
      <c r="C97">
        <v>5</v>
      </c>
      <c r="D97">
        <v>56.05</v>
      </c>
      <c r="E97">
        <v>169.89</v>
      </c>
      <c r="F97">
        <v>84.71</v>
      </c>
      <c r="G97">
        <v>281</v>
      </c>
      <c r="H97">
        <v>5.54</v>
      </c>
      <c r="I97">
        <v>1</v>
      </c>
      <c r="J97">
        <v>1991</v>
      </c>
      <c r="K97" t="s">
        <v>32</v>
      </c>
      <c r="L97" t="s">
        <v>15</v>
      </c>
      <c r="M97" t="str">
        <f>IF(J97&gt;2010,"Yes","No")</f>
        <v>No</v>
      </c>
      <c r="N97">
        <f>F97/D97</f>
        <v>1.5113291703835861</v>
      </c>
      <c r="O97">
        <f>E97/D97</f>
        <v>3.0310437109723458</v>
      </c>
    </row>
    <row r="98" spans="1:15" x14ac:dyDescent="0.3">
      <c r="A98" t="s">
        <v>276</v>
      </c>
      <c r="B98" t="s">
        <v>25</v>
      </c>
      <c r="C98">
        <v>3</v>
      </c>
      <c r="D98">
        <v>57.17</v>
      </c>
      <c r="E98">
        <v>335.51</v>
      </c>
      <c r="F98">
        <v>42.07</v>
      </c>
      <c r="G98">
        <v>4528</v>
      </c>
      <c r="H98">
        <v>2.57</v>
      </c>
      <c r="I98">
        <v>1</v>
      </c>
      <c r="J98">
        <v>2013</v>
      </c>
      <c r="K98" t="s">
        <v>28</v>
      </c>
      <c r="L98" t="s">
        <v>26</v>
      </c>
      <c r="M98" t="str">
        <f>IF(J98&gt;2010,"Yes","No")</f>
        <v>Yes</v>
      </c>
      <c r="N98">
        <f>F98/D98</f>
        <v>0.73587545915690045</v>
      </c>
      <c r="O98">
        <f>E98/D98</f>
        <v>5.8686373972363128</v>
      </c>
    </row>
    <row r="99" spans="1:15" x14ac:dyDescent="0.3">
      <c r="A99" t="s">
        <v>142</v>
      </c>
      <c r="B99" t="s">
        <v>39</v>
      </c>
      <c r="C99">
        <v>1</v>
      </c>
      <c r="D99">
        <v>58.18</v>
      </c>
      <c r="E99">
        <v>509.09</v>
      </c>
      <c r="F99">
        <v>88.23</v>
      </c>
      <c r="G99">
        <v>1975</v>
      </c>
      <c r="H99">
        <v>4.87</v>
      </c>
      <c r="I99">
        <v>0</v>
      </c>
      <c r="J99">
        <v>2019</v>
      </c>
      <c r="K99" t="s">
        <v>14</v>
      </c>
      <c r="L99" t="s">
        <v>15</v>
      </c>
      <c r="M99" t="str">
        <f>IF(J99&gt;2010,"Yes","No")</f>
        <v>Yes</v>
      </c>
      <c r="N99">
        <f>F99/D99</f>
        <v>1.5165005156411138</v>
      </c>
      <c r="O99">
        <f>E99/D99</f>
        <v>8.7502578205568913</v>
      </c>
    </row>
    <row r="100" spans="1:15" x14ac:dyDescent="0.3">
      <c r="A100" t="s">
        <v>289</v>
      </c>
      <c r="B100" t="s">
        <v>34</v>
      </c>
      <c r="C100">
        <v>5</v>
      </c>
      <c r="D100">
        <v>58.34</v>
      </c>
      <c r="E100">
        <v>552.88</v>
      </c>
      <c r="F100">
        <v>10.72</v>
      </c>
      <c r="G100">
        <v>3805</v>
      </c>
      <c r="H100">
        <v>6.31</v>
      </c>
      <c r="I100">
        <v>0</v>
      </c>
      <c r="J100">
        <v>2019</v>
      </c>
      <c r="K100" t="s">
        <v>28</v>
      </c>
      <c r="L100" t="s">
        <v>23</v>
      </c>
      <c r="M100" t="str">
        <f>IF(J100&gt;2010,"Yes","No")</f>
        <v>Yes</v>
      </c>
      <c r="N100">
        <f>F100/D100</f>
        <v>0.18375042852245457</v>
      </c>
      <c r="O100">
        <f>E100/D100</f>
        <v>9.4768597874528613</v>
      </c>
    </row>
    <row r="101" spans="1:15" x14ac:dyDescent="0.3">
      <c r="A101" t="s">
        <v>353</v>
      </c>
      <c r="B101" t="s">
        <v>75</v>
      </c>
      <c r="C101">
        <v>1</v>
      </c>
      <c r="D101">
        <v>60.51</v>
      </c>
      <c r="E101">
        <v>797.29</v>
      </c>
      <c r="F101">
        <v>87.74</v>
      </c>
      <c r="G101">
        <v>1820</v>
      </c>
      <c r="H101">
        <v>8.75</v>
      </c>
      <c r="I101">
        <v>0</v>
      </c>
      <c r="J101">
        <v>2020</v>
      </c>
      <c r="K101" t="s">
        <v>32</v>
      </c>
      <c r="L101" t="s">
        <v>23</v>
      </c>
      <c r="M101" t="str">
        <f>IF(J101&gt;2010,"Yes","No")</f>
        <v>Yes</v>
      </c>
      <c r="N101">
        <f>F101/D101</f>
        <v>1.4500082630970088</v>
      </c>
      <c r="O101">
        <f>E101/D101</f>
        <v>13.176169228226739</v>
      </c>
    </row>
    <row r="102" spans="1:15" x14ac:dyDescent="0.3">
      <c r="A102" t="s">
        <v>413</v>
      </c>
      <c r="B102" t="s">
        <v>17</v>
      </c>
      <c r="C102">
        <v>4</v>
      </c>
      <c r="D102">
        <v>60.66</v>
      </c>
      <c r="E102">
        <v>504.65</v>
      </c>
      <c r="F102">
        <v>59.13</v>
      </c>
      <c r="G102">
        <v>493</v>
      </c>
      <c r="H102">
        <v>4.6500000000000004</v>
      </c>
      <c r="I102">
        <v>1</v>
      </c>
      <c r="J102">
        <v>1992</v>
      </c>
      <c r="K102" t="s">
        <v>14</v>
      </c>
      <c r="L102" t="s">
        <v>15</v>
      </c>
      <c r="M102" t="str">
        <f>IF(J102&gt;2010,"Yes","No")</f>
        <v>No</v>
      </c>
      <c r="N102">
        <f>F102/D102</f>
        <v>0.97477744807121669</v>
      </c>
      <c r="O102">
        <f>E102/D102</f>
        <v>8.3193208044840095</v>
      </c>
    </row>
    <row r="103" spans="1:15" x14ac:dyDescent="0.3">
      <c r="A103" t="s">
        <v>460</v>
      </c>
      <c r="B103" t="s">
        <v>25</v>
      </c>
      <c r="C103">
        <v>4</v>
      </c>
      <c r="D103">
        <v>61.47</v>
      </c>
      <c r="E103">
        <v>254.49</v>
      </c>
      <c r="F103">
        <v>55</v>
      </c>
      <c r="G103">
        <v>2788</v>
      </c>
      <c r="H103">
        <v>1.23</v>
      </c>
      <c r="I103">
        <v>1</v>
      </c>
      <c r="J103">
        <v>2005</v>
      </c>
      <c r="K103" t="s">
        <v>41</v>
      </c>
      <c r="L103" t="s">
        <v>23</v>
      </c>
      <c r="M103" t="str">
        <f>IF(J103&gt;2010,"Yes","No")</f>
        <v>No</v>
      </c>
      <c r="N103">
        <f>F103/D103</f>
        <v>0.89474540426224181</v>
      </c>
      <c r="O103">
        <f>E103/D103</f>
        <v>4.1400683260126891</v>
      </c>
    </row>
    <row r="104" spans="1:15" x14ac:dyDescent="0.3">
      <c r="A104" t="s">
        <v>360</v>
      </c>
      <c r="B104" t="s">
        <v>30</v>
      </c>
      <c r="C104">
        <v>1</v>
      </c>
      <c r="D104">
        <v>61.51</v>
      </c>
      <c r="E104">
        <v>540.03</v>
      </c>
      <c r="F104">
        <v>83.83</v>
      </c>
      <c r="G104">
        <v>2666</v>
      </c>
      <c r="H104">
        <v>4.25</v>
      </c>
      <c r="I104">
        <v>0</v>
      </c>
      <c r="J104">
        <v>2003</v>
      </c>
      <c r="K104" t="s">
        <v>28</v>
      </c>
      <c r="L104" t="s">
        <v>15</v>
      </c>
      <c r="M104" t="str">
        <f>IF(J104&gt;2010,"Yes","No")</f>
        <v>No</v>
      </c>
      <c r="N104">
        <f>F104/D104</f>
        <v>1.3628678263696961</v>
      </c>
      <c r="O104">
        <f>E104/D104</f>
        <v>8.7795480409689475</v>
      </c>
    </row>
    <row r="105" spans="1:15" x14ac:dyDescent="0.3">
      <c r="A105" t="s">
        <v>401</v>
      </c>
      <c r="B105" t="s">
        <v>25</v>
      </c>
      <c r="C105">
        <v>1</v>
      </c>
      <c r="D105">
        <v>63.5</v>
      </c>
      <c r="E105">
        <v>383.33</v>
      </c>
      <c r="F105">
        <v>0.39</v>
      </c>
      <c r="G105">
        <v>4557</v>
      </c>
      <c r="H105">
        <v>9.0500000000000007</v>
      </c>
      <c r="I105">
        <v>1</v>
      </c>
      <c r="J105">
        <v>2009</v>
      </c>
      <c r="K105" t="s">
        <v>32</v>
      </c>
      <c r="L105" t="s">
        <v>23</v>
      </c>
      <c r="M105" t="str">
        <f>IF(J105&gt;2010,"Yes","No")</f>
        <v>No</v>
      </c>
      <c r="N105">
        <f>F105/D105</f>
        <v>6.1417322834645674E-3</v>
      </c>
      <c r="O105">
        <f>E105/D105</f>
        <v>6.0366929133858269</v>
      </c>
    </row>
    <row r="106" spans="1:15" x14ac:dyDescent="0.3">
      <c r="A106" t="s">
        <v>222</v>
      </c>
      <c r="B106" t="s">
        <v>34</v>
      </c>
      <c r="C106">
        <v>2</v>
      </c>
      <c r="D106">
        <v>65.290000000000006</v>
      </c>
      <c r="E106">
        <v>483.37</v>
      </c>
      <c r="F106">
        <v>52.07</v>
      </c>
      <c r="G106">
        <v>362</v>
      </c>
      <c r="H106">
        <v>3.62</v>
      </c>
      <c r="I106">
        <v>0</v>
      </c>
      <c r="J106">
        <v>2004</v>
      </c>
      <c r="K106" t="s">
        <v>18</v>
      </c>
      <c r="L106" t="s">
        <v>15</v>
      </c>
      <c r="M106" t="str">
        <f>IF(J106&gt;2010,"Yes","No")</f>
        <v>No</v>
      </c>
      <c r="N106">
        <f>F106/D106</f>
        <v>0.79751876244447839</v>
      </c>
      <c r="O106">
        <f>E106/D106</f>
        <v>7.40343084699035</v>
      </c>
    </row>
    <row r="107" spans="1:15" x14ac:dyDescent="0.3">
      <c r="A107" t="s">
        <v>49</v>
      </c>
      <c r="B107" t="s">
        <v>39</v>
      </c>
      <c r="C107">
        <v>1</v>
      </c>
      <c r="D107">
        <v>65.8</v>
      </c>
      <c r="E107">
        <v>655.46</v>
      </c>
      <c r="F107">
        <v>10.5</v>
      </c>
      <c r="G107">
        <v>2177</v>
      </c>
      <c r="H107">
        <v>3.92</v>
      </c>
      <c r="I107">
        <v>0</v>
      </c>
      <c r="J107">
        <v>2006</v>
      </c>
      <c r="K107" t="s">
        <v>28</v>
      </c>
      <c r="L107" t="s">
        <v>15</v>
      </c>
      <c r="M107" t="str">
        <f>IF(J107&gt;2010,"Yes","No")</f>
        <v>No</v>
      </c>
      <c r="N107">
        <f>F107/D107</f>
        <v>0.15957446808510639</v>
      </c>
      <c r="O107">
        <f>E107/D107</f>
        <v>9.9613981762917945</v>
      </c>
    </row>
    <row r="108" spans="1:15" x14ac:dyDescent="0.3">
      <c r="A108" t="s">
        <v>33</v>
      </c>
      <c r="B108" t="s">
        <v>34</v>
      </c>
      <c r="C108">
        <v>3</v>
      </c>
      <c r="D108">
        <v>66.239999999999995</v>
      </c>
      <c r="E108">
        <v>707.45</v>
      </c>
      <c r="F108">
        <v>21.8</v>
      </c>
      <c r="G108">
        <v>3655</v>
      </c>
      <c r="H108">
        <v>9.9</v>
      </c>
      <c r="I108">
        <v>0</v>
      </c>
      <c r="J108">
        <v>1995</v>
      </c>
      <c r="K108" t="s">
        <v>14</v>
      </c>
      <c r="L108" t="s">
        <v>15</v>
      </c>
      <c r="M108" t="str">
        <f>IF(J108&gt;2010,"Yes","No")</f>
        <v>No</v>
      </c>
      <c r="N108">
        <f>F108/D108</f>
        <v>0.32910628019323673</v>
      </c>
      <c r="O108">
        <f>E108/D108</f>
        <v>10.680102657004833</v>
      </c>
    </row>
    <row r="109" spans="1:15" x14ac:dyDescent="0.3">
      <c r="A109" t="s">
        <v>458</v>
      </c>
      <c r="B109" t="s">
        <v>13</v>
      </c>
      <c r="C109">
        <v>1</v>
      </c>
      <c r="D109">
        <v>66.56</v>
      </c>
      <c r="E109">
        <v>288.18</v>
      </c>
      <c r="F109">
        <v>9.32</v>
      </c>
      <c r="G109">
        <v>1951</v>
      </c>
      <c r="H109">
        <v>9.81</v>
      </c>
      <c r="I109">
        <v>1</v>
      </c>
      <c r="J109">
        <v>2001</v>
      </c>
      <c r="K109" t="s">
        <v>32</v>
      </c>
      <c r="L109" t="s">
        <v>15</v>
      </c>
      <c r="M109" t="str">
        <f>IF(J109&gt;2010,"Yes","No")</f>
        <v>No</v>
      </c>
      <c r="N109">
        <f>F109/D109</f>
        <v>0.14002403846153846</v>
      </c>
      <c r="O109">
        <f>E109/D109</f>
        <v>4.3296274038461542</v>
      </c>
    </row>
    <row r="110" spans="1:15" x14ac:dyDescent="0.3">
      <c r="A110" t="s">
        <v>377</v>
      </c>
      <c r="B110" t="s">
        <v>39</v>
      </c>
      <c r="C110">
        <v>2</v>
      </c>
      <c r="D110">
        <v>68.05</v>
      </c>
      <c r="E110">
        <v>238.96</v>
      </c>
      <c r="F110">
        <v>69.48</v>
      </c>
      <c r="G110">
        <v>2517</v>
      </c>
      <c r="H110">
        <v>7.89</v>
      </c>
      <c r="I110">
        <v>0</v>
      </c>
      <c r="J110">
        <v>2002</v>
      </c>
      <c r="K110" t="s">
        <v>28</v>
      </c>
      <c r="L110" t="s">
        <v>15</v>
      </c>
      <c r="M110" t="str">
        <f>IF(J110&gt;2010,"Yes","No")</f>
        <v>No</v>
      </c>
      <c r="N110">
        <f>F110/D110</f>
        <v>1.0210139603232917</v>
      </c>
      <c r="O110">
        <f>E110/D110</f>
        <v>3.5115356355620868</v>
      </c>
    </row>
    <row r="111" spans="1:15" x14ac:dyDescent="0.3">
      <c r="A111" t="s">
        <v>283</v>
      </c>
      <c r="B111" t="s">
        <v>39</v>
      </c>
      <c r="C111">
        <v>4</v>
      </c>
      <c r="D111">
        <v>68.97</v>
      </c>
      <c r="E111">
        <v>857.66</v>
      </c>
      <c r="F111">
        <v>73.83</v>
      </c>
      <c r="G111">
        <v>3497</v>
      </c>
      <c r="H111">
        <v>9.4</v>
      </c>
      <c r="I111">
        <v>1</v>
      </c>
      <c r="J111">
        <v>2001</v>
      </c>
      <c r="K111" t="s">
        <v>32</v>
      </c>
      <c r="L111" t="s">
        <v>15</v>
      </c>
      <c r="M111" t="str">
        <f>IF(J111&gt;2010,"Yes","No")</f>
        <v>No</v>
      </c>
      <c r="N111">
        <f>F111/D111</f>
        <v>1.0704654197477164</v>
      </c>
      <c r="O111">
        <f>E111/D111</f>
        <v>12.43526170798898</v>
      </c>
    </row>
    <row r="112" spans="1:15" x14ac:dyDescent="0.3">
      <c r="A112" t="s">
        <v>338</v>
      </c>
      <c r="B112" t="s">
        <v>30</v>
      </c>
      <c r="C112">
        <v>3</v>
      </c>
      <c r="D112">
        <v>69.400000000000006</v>
      </c>
      <c r="E112">
        <v>455.84</v>
      </c>
      <c r="F112">
        <v>63.55</v>
      </c>
      <c r="G112">
        <v>360</v>
      </c>
      <c r="H112">
        <v>5.18</v>
      </c>
      <c r="I112">
        <v>0</v>
      </c>
      <c r="J112">
        <v>2003</v>
      </c>
      <c r="K112" t="s">
        <v>41</v>
      </c>
      <c r="L112" t="s">
        <v>23</v>
      </c>
      <c r="M112" t="str">
        <f>IF(J112&gt;2010,"Yes","No")</f>
        <v>No</v>
      </c>
      <c r="N112">
        <f>F112/D112</f>
        <v>0.91570605187319876</v>
      </c>
      <c r="O112">
        <f>E112/D112</f>
        <v>6.5682997118155608</v>
      </c>
    </row>
    <row r="113" spans="1:15" x14ac:dyDescent="0.3">
      <c r="A113" t="s">
        <v>212</v>
      </c>
      <c r="B113" t="s">
        <v>25</v>
      </c>
      <c r="C113">
        <v>5</v>
      </c>
      <c r="D113">
        <v>69.56</v>
      </c>
      <c r="E113">
        <v>493.39</v>
      </c>
      <c r="F113">
        <v>19.64</v>
      </c>
      <c r="G113">
        <v>3431</v>
      </c>
      <c r="H113">
        <v>1.95</v>
      </c>
      <c r="I113">
        <v>0</v>
      </c>
      <c r="J113">
        <v>1994</v>
      </c>
      <c r="K113" t="s">
        <v>18</v>
      </c>
      <c r="L113" t="s">
        <v>15</v>
      </c>
      <c r="M113" t="str">
        <f>IF(J113&gt;2010,"Yes","No")</f>
        <v>No</v>
      </c>
      <c r="N113">
        <f>F113/D113</f>
        <v>0.28234617596319722</v>
      </c>
      <c r="O113">
        <f>E113/D113</f>
        <v>7.0930132259919487</v>
      </c>
    </row>
    <row r="114" spans="1:15" x14ac:dyDescent="0.3">
      <c r="A114" t="s">
        <v>510</v>
      </c>
      <c r="B114" t="s">
        <v>75</v>
      </c>
      <c r="C114">
        <v>4</v>
      </c>
      <c r="D114">
        <v>70.78</v>
      </c>
      <c r="E114">
        <v>448.38</v>
      </c>
      <c r="F114">
        <v>52.63</v>
      </c>
      <c r="G114">
        <v>4595</v>
      </c>
      <c r="H114">
        <v>7.1</v>
      </c>
      <c r="I114">
        <v>0</v>
      </c>
      <c r="J114">
        <v>2013</v>
      </c>
      <c r="K114" t="s">
        <v>28</v>
      </c>
      <c r="L114" t="s">
        <v>26</v>
      </c>
      <c r="M114" t="str">
        <f>IF(J114&gt;2010,"Yes","No")</f>
        <v>Yes</v>
      </c>
      <c r="N114">
        <f>F114/D114</f>
        <v>0.74357163040406893</v>
      </c>
      <c r="O114">
        <f>E114/D114</f>
        <v>6.3348403503814632</v>
      </c>
    </row>
    <row r="115" spans="1:15" x14ac:dyDescent="0.3">
      <c r="A115" t="s">
        <v>485</v>
      </c>
      <c r="B115" t="s">
        <v>25</v>
      </c>
      <c r="C115">
        <v>3</v>
      </c>
      <c r="D115">
        <v>71.12</v>
      </c>
      <c r="E115">
        <v>443.22</v>
      </c>
      <c r="F115">
        <v>40</v>
      </c>
      <c r="G115">
        <v>1280</v>
      </c>
      <c r="H115">
        <v>4.1100000000000003</v>
      </c>
      <c r="I115">
        <v>0</v>
      </c>
      <c r="J115">
        <v>2018</v>
      </c>
      <c r="K115" t="s">
        <v>14</v>
      </c>
      <c r="L115" t="s">
        <v>15</v>
      </c>
      <c r="M115" t="str">
        <f>IF(J115&gt;2010,"Yes","No")</f>
        <v>Yes</v>
      </c>
      <c r="N115">
        <f>F115/D115</f>
        <v>0.56242969628796402</v>
      </c>
      <c r="O115">
        <f>E115/D115</f>
        <v>6.2320022497187848</v>
      </c>
    </row>
    <row r="116" spans="1:15" x14ac:dyDescent="0.3">
      <c r="A116" t="s">
        <v>509</v>
      </c>
      <c r="B116" t="s">
        <v>21</v>
      </c>
      <c r="C116">
        <v>4</v>
      </c>
      <c r="D116">
        <v>71.489999999999995</v>
      </c>
      <c r="E116">
        <v>970.65</v>
      </c>
      <c r="F116">
        <v>39.36</v>
      </c>
      <c r="G116">
        <v>2024</v>
      </c>
      <c r="H116">
        <v>6.12</v>
      </c>
      <c r="I116">
        <v>0</v>
      </c>
      <c r="J116">
        <v>1997</v>
      </c>
      <c r="K116" t="s">
        <v>32</v>
      </c>
      <c r="L116" t="s">
        <v>15</v>
      </c>
      <c r="M116" t="str">
        <f>IF(J116&gt;2010,"Yes","No")</f>
        <v>No</v>
      </c>
      <c r="N116">
        <f>F116/D116</f>
        <v>0.55056651279899294</v>
      </c>
      <c r="O116">
        <f>E116/D116</f>
        <v>13.577423415862359</v>
      </c>
    </row>
    <row r="117" spans="1:15" x14ac:dyDescent="0.3">
      <c r="A117" t="s">
        <v>272</v>
      </c>
      <c r="B117" t="s">
        <v>30</v>
      </c>
      <c r="C117">
        <v>5</v>
      </c>
      <c r="D117">
        <v>71.989999999999995</v>
      </c>
      <c r="E117">
        <v>412.38</v>
      </c>
      <c r="F117">
        <v>24.51</v>
      </c>
      <c r="G117">
        <v>672</v>
      </c>
      <c r="H117">
        <v>4.5599999999999996</v>
      </c>
      <c r="I117">
        <v>0</v>
      </c>
      <c r="J117">
        <v>1990</v>
      </c>
      <c r="K117" t="s">
        <v>14</v>
      </c>
      <c r="L117" t="s">
        <v>26</v>
      </c>
      <c r="M117" t="str">
        <f>IF(J117&gt;2010,"Yes","No")</f>
        <v>No</v>
      </c>
      <c r="N117">
        <f>F117/D117</f>
        <v>0.34046395332685098</v>
      </c>
      <c r="O117">
        <f>E117/D117</f>
        <v>5.728295596610641</v>
      </c>
    </row>
    <row r="118" spans="1:15" x14ac:dyDescent="0.3">
      <c r="A118" t="s">
        <v>268</v>
      </c>
      <c r="B118" t="s">
        <v>13</v>
      </c>
      <c r="C118">
        <v>1</v>
      </c>
      <c r="D118">
        <v>73.959999999999994</v>
      </c>
      <c r="E118">
        <v>671.71</v>
      </c>
      <c r="F118">
        <v>25.51</v>
      </c>
      <c r="G118">
        <v>3419</v>
      </c>
      <c r="H118">
        <v>6.45</v>
      </c>
      <c r="I118">
        <v>0</v>
      </c>
      <c r="J118">
        <v>2022</v>
      </c>
      <c r="K118" t="s">
        <v>32</v>
      </c>
      <c r="L118" t="s">
        <v>15</v>
      </c>
      <c r="M118" t="str">
        <f>IF(J118&gt;2010,"Yes","No")</f>
        <v>Yes</v>
      </c>
      <c r="N118">
        <f>F118/D118</f>
        <v>0.34491617090319099</v>
      </c>
      <c r="O118">
        <f>E118/D118</f>
        <v>9.0820713899405092</v>
      </c>
    </row>
    <row r="119" spans="1:15" x14ac:dyDescent="0.3">
      <c r="A119" t="s">
        <v>375</v>
      </c>
      <c r="B119" t="s">
        <v>34</v>
      </c>
      <c r="C119">
        <v>4</v>
      </c>
      <c r="D119">
        <v>74.64</v>
      </c>
      <c r="E119">
        <v>402.03</v>
      </c>
      <c r="F119">
        <v>95.59</v>
      </c>
      <c r="G119">
        <v>2836</v>
      </c>
      <c r="H119">
        <v>1.21</v>
      </c>
      <c r="I119">
        <v>1</v>
      </c>
      <c r="J119">
        <v>2012</v>
      </c>
      <c r="K119" t="s">
        <v>14</v>
      </c>
      <c r="L119" t="s">
        <v>15</v>
      </c>
      <c r="M119" t="str">
        <f>IF(J119&gt;2010,"Yes","No")</f>
        <v>Yes</v>
      </c>
      <c r="N119">
        <f>F119/D119</f>
        <v>1.2806806002143623</v>
      </c>
      <c r="O119">
        <f>E119/D119</f>
        <v>5.3862540192926041</v>
      </c>
    </row>
    <row r="120" spans="1:15" x14ac:dyDescent="0.3">
      <c r="A120" t="s">
        <v>69</v>
      </c>
      <c r="B120" t="s">
        <v>30</v>
      </c>
      <c r="C120">
        <v>5</v>
      </c>
      <c r="D120">
        <v>75.59</v>
      </c>
      <c r="E120">
        <v>242.66</v>
      </c>
      <c r="F120">
        <v>23.66</v>
      </c>
      <c r="G120">
        <v>2395</v>
      </c>
      <c r="H120">
        <v>8.41</v>
      </c>
      <c r="I120">
        <v>1</v>
      </c>
      <c r="J120">
        <v>1993</v>
      </c>
      <c r="K120" t="s">
        <v>14</v>
      </c>
      <c r="L120" t="s">
        <v>15</v>
      </c>
      <c r="M120" t="str">
        <f>IF(J120&gt;2010,"Yes","No")</f>
        <v>No</v>
      </c>
      <c r="N120">
        <f>F120/D120</f>
        <v>0.31300436565683293</v>
      </c>
      <c r="O120">
        <f>E120/D120</f>
        <v>3.2102129911363937</v>
      </c>
    </row>
    <row r="121" spans="1:15" x14ac:dyDescent="0.3">
      <c r="A121" t="s">
        <v>326</v>
      </c>
      <c r="B121" t="s">
        <v>25</v>
      </c>
      <c r="C121">
        <v>2</v>
      </c>
      <c r="D121">
        <v>76.13</v>
      </c>
      <c r="E121">
        <v>1006.24</v>
      </c>
      <c r="F121">
        <v>96.63</v>
      </c>
      <c r="G121">
        <v>1883</v>
      </c>
      <c r="H121">
        <v>4.3099999999999996</v>
      </c>
      <c r="I121">
        <v>0</v>
      </c>
      <c r="J121">
        <v>2009</v>
      </c>
      <c r="K121" t="s">
        <v>14</v>
      </c>
      <c r="L121" t="s">
        <v>26</v>
      </c>
      <c r="M121" t="str">
        <f>IF(J121&gt;2010,"Yes","No")</f>
        <v>No</v>
      </c>
      <c r="N121">
        <f>F121/D121</f>
        <v>1.2692762380139235</v>
      </c>
      <c r="O121">
        <f>E121/D121</f>
        <v>13.217391304347826</v>
      </c>
    </row>
    <row r="122" spans="1:15" x14ac:dyDescent="0.3">
      <c r="A122" t="s">
        <v>520</v>
      </c>
      <c r="B122" t="s">
        <v>34</v>
      </c>
      <c r="C122">
        <v>4</v>
      </c>
      <c r="D122">
        <v>76.13</v>
      </c>
      <c r="E122">
        <v>720.52</v>
      </c>
      <c r="F122">
        <v>0.77</v>
      </c>
      <c r="G122">
        <v>1641</v>
      </c>
      <c r="H122">
        <v>6.36</v>
      </c>
      <c r="I122">
        <v>1</v>
      </c>
      <c r="J122">
        <v>1993</v>
      </c>
      <c r="K122" t="s">
        <v>41</v>
      </c>
      <c r="L122" t="s">
        <v>23</v>
      </c>
      <c r="M122" t="str">
        <f>IF(J122&gt;2010,"Yes","No")</f>
        <v>No</v>
      </c>
      <c r="N122">
        <f>F122/D122</f>
        <v>1.0114278208327861E-2</v>
      </c>
      <c r="O122">
        <f>E122/D122</f>
        <v>9.4643373177459615</v>
      </c>
    </row>
    <row r="123" spans="1:15" x14ac:dyDescent="0.3">
      <c r="A123" t="s">
        <v>248</v>
      </c>
      <c r="B123" t="s">
        <v>34</v>
      </c>
      <c r="C123">
        <v>4</v>
      </c>
      <c r="D123">
        <v>76.17</v>
      </c>
      <c r="E123">
        <v>602.79</v>
      </c>
      <c r="F123">
        <v>99.71</v>
      </c>
      <c r="G123">
        <v>1594</v>
      </c>
      <c r="H123">
        <v>5.86</v>
      </c>
      <c r="I123">
        <v>0</v>
      </c>
      <c r="J123">
        <v>1991</v>
      </c>
      <c r="K123" t="s">
        <v>14</v>
      </c>
      <c r="L123" t="s">
        <v>15</v>
      </c>
      <c r="M123" t="str">
        <f>IF(J123&gt;2010,"Yes","No")</f>
        <v>No</v>
      </c>
      <c r="N123">
        <f>F123/D123</f>
        <v>1.3090455559931731</v>
      </c>
      <c r="O123">
        <f>E123/D123</f>
        <v>7.9137455691217005</v>
      </c>
    </row>
    <row r="124" spans="1:15" x14ac:dyDescent="0.3">
      <c r="A124" t="s">
        <v>288</v>
      </c>
      <c r="B124" t="s">
        <v>75</v>
      </c>
      <c r="C124">
        <v>1</v>
      </c>
      <c r="D124">
        <v>77.98</v>
      </c>
      <c r="E124">
        <v>605.6</v>
      </c>
      <c r="F124">
        <v>73.959999999999994</v>
      </c>
      <c r="G124">
        <v>2015</v>
      </c>
      <c r="H124">
        <v>0.6</v>
      </c>
      <c r="I124">
        <v>1</v>
      </c>
      <c r="J124">
        <v>1991</v>
      </c>
      <c r="K124" t="s">
        <v>28</v>
      </c>
      <c r="L124" t="s">
        <v>26</v>
      </c>
      <c r="M124" t="str">
        <f>IF(J124&gt;2010,"Yes","No")</f>
        <v>No</v>
      </c>
      <c r="N124">
        <f>F124/D124</f>
        <v>0.94844832008207225</v>
      </c>
      <c r="O124">
        <f>E124/D124</f>
        <v>7.7660938702231341</v>
      </c>
    </row>
    <row r="125" spans="1:15" x14ac:dyDescent="0.3">
      <c r="A125" t="s">
        <v>201</v>
      </c>
      <c r="B125" t="s">
        <v>39</v>
      </c>
      <c r="C125">
        <v>3</v>
      </c>
      <c r="D125">
        <v>78.069999999999993</v>
      </c>
      <c r="E125">
        <v>474.87</v>
      </c>
      <c r="F125">
        <v>55.3</v>
      </c>
      <c r="G125">
        <v>3752</v>
      </c>
      <c r="H125">
        <v>3.23</v>
      </c>
      <c r="I125">
        <v>0</v>
      </c>
      <c r="J125">
        <v>2010</v>
      </c>
      <c r="K125" t="s">
        <v>41</v>
      </c>
      <c r="L125" t="s">
        <v>15</v>
      </c>
      <c r="M125" t="str">
        <f>IF(J125&gt;2010,"Yes","No")</f>
        <v>No</v>
      </c>
      <c r="N125">
        <f>F125/D125</f>
        <v>0.70833867042397847</v>
      </c>
      <c r="O125">
        <f>E125/D125</f>
        <v>6.0826181631868845</v>
      </c>
    </row>
    <row r="126" spans="1:15" x14ac:dyDescent="0.3">
      <c r="A126" t="s">
        <v>226</v>
      </c>
      <c r="B126" t="s">
        <v>34</v>
      </c>
      <c r="C126">
        <v>2</v>
      </c>
      <c r="D126">
        <v>78.44</v>
      </c>
      <c r="E126">
        <v>1018.34</v>
      </c>
      <c r="F126">
        <v>61.39</v>
      </c>
      <c r="G126">
        <v>1502</v>
      </c>
      <c r="H126">
        <v>0.81</v>
      </c>
      <c r="I126">
        <v>0</v>
      </c>
      <c r="J126">
        <v>1993</v>
      </c>
      <c r="K126" t="s">
        <v>18</v>
      </c>
      <c r="L126" t="s">
        <v>15</v>
      </c>
      <c r="M126" t="str">
        <f>IF(J126&gt;2010,"Yes","No")</f>
        <v>No</v>
      </c>
      <c r="N126">
        <f>F126/D126</f>
        <v>0.78263640999490058</v>
      </c>
      <c r="O126">
        <f>E126/D126</f>
        <v>12.982406935237124</v>
      </c>
    </row>
    <row r="127" spans="1:15" x14ac:dyDescent="0.3">
      <c r="A127" t="s">
        <v>66</v>
      </c>
      <c r="B127" t="s">
        <v>34</v>
      </c>
      <c r="C127">
        <v>4</v>
      </c>
      <c r="D127">
        <v>79.47</v>
      </c>
      <c r="E127">
        <v>869.37</v>
      </c>
      <c r="F127">
        <v>37.409999999999997</v>
      </c>
      <c r="G127">
        <v>2726</v>
      </c>
      <c r="H127">
        <v>5.68</v>
      </c>
      <c r="I127">
        <v>1</v>
      </c>
      <c r="J127">
        <v>1995</v>
      </c>
      <c r="K127" t="s">
        <v>14</v>
      </c>
      <c r="L127" t="s">
        <v>23</v>
      </c>
      <c r="M127" t="str">
        <f>IF(J127&gt;2010,"Yes","No")</f>
        <v>No</v>
      </c>
      <c r="N127">
        <f>F127/D127</f>
        <v>0.47074367685919211</v>
      </c>
      <c r="O127">
        <f>E127/D127</f>
        <v>10.939599848999622</v>
      </c>
    </row>
    <row r="128" spans="1:15" x14ac:dyDescent="0.3">
      <c r="A128" t="s">
        <v>67</v>
      </c>
      <c r="B128" t="s">
        <v>13</v>
      </c>
      <c r="C128">
        <v>1</v>
      </c>
      <c r="D128">
        <v>80.319999999999993</v>
      </c>
      <c r="E128">
        <v>1184.2</v>
      </c>
      <c r="F128">
        <v>12.33</v>
      </c>
      <c r="G128">
        <v>369</v>
      </c>
      <c r="H128">
        <v>4.33</v>
      </c>
      <c r="I128">
        <v>0</v>
      </c>
      <c r="J128">
        <v>2003</v>
      </c>
      <c r="K128" t="s">
        <v>18</v>
      </c>
      <c r="L128" t="s">
        <v>15</v>
      </c>
      <c r="M128" t="str">
        <f>IF(J128&gt;2010,"Yes","No")</f>
        <v>No</v>
      </c>
      <c r="N128">
        <f>F128/D128</f>
        <v>0.15351095617529881</v>
      </c>
      <c r="O128">
        <f>E128/D128</f>
        <v>14.743525896414344</v>
      </c>
    </row>
    <row r="129" spans="1:15" x14ac:dyDescent="0.3">
      <c r="A129" t="s">
        <v>94</v>
      </c>
      <c r="B129" t="s">
        <v>34</v>
      </c>
      <c r="C129">
        <v>3</v>
      </c>
      <c r="D129">
        <v>81.34</v>
      </c>
      <c r="E129">
        <v>990.91</v>
      </c>
      <c r="F129">
        <v>92.97</v>
      </c>
      <c r="G129">
        <v>3740</v>
      </c>
      <c r="H129">
        <v>7.76</v>
      </c>
      <c r="I129">
        <v>0</v>
      </c>
      <c r="J129">
        <v>2018</v>
      </c>
      <c r="K129" t="s">
        <v>32</v>
      </c>
      <c r="L129" t="s">
        <v>26</v>
      </c>
      <c r="M129" t="str">
        <f>IF(J129&gt;2010,"Yes","No")</f>
        <v>Yes</v>
      </c>
      <c r="N129">
        <f>F129/D129</f>
        <v>1.1429800835997048</v>
      </c>
      <c r="O129">
        <f>E129/D129</f>
        <v>12.182321121219571</v>
      </c>
    </row>
    <row r="130" spans="1:15" x14ac:dyDescent="0.3">
      <c r="A130" t="s">
        <v>181</v>
      </c>
      <c r="B130" t="s">
        <v>17</v>
      </c>
      <c r="C130">
        <v>4</v>
      </c>
      <c r="D130">
        <v>81.87</v>
      </c>
      <c r="E130">
        <v>792.47</v>
      </c>
      <c r="F130">
        <v>78.72</v>
      </c>
      <c r="G130">
        <v>2316</v>
      </c>
      <c r="H130">
        <v>6.2</v>
      </c>
      <c r="I130">
        <v>1</v>
      </c>
      <c r="J130">
        <v>2006</v>
      </c>
      <c r="K130" t="s">
        <v>14</v>
      </c>
      <c r="L130" t="s">
        <v>15</v>
      </c>
      <c r="M130" t="str">
        <f>IF(J130&gt;2010,"Yes","No")</f>
        <v>No</v>
      </c>
      <c r="N130">
        <f>F130/D130</f>
        <v>0.96152436790032969</v>
      </c>
      <c r="O130">
        <f>E130/D130</f>
        <v>9.6796140222303642</v>
      </c>
    </row>
    <row r="131" spans="1:15" x14ac:dyDescent="0.3">
      <c r="A131" t="s">
        <v>239</v>
      </c>
      <c r="B131" t="s">
        <v>34</v>
      </c>
      <c r="C131">
        <v>5</v>
      </c>
      <c r="D131">
        <v>82.25</v>
      </c>
      <c r="E131">
        <v>1229.29</v>
      </c>
      <c r="F131">
        <v>85.7</v>
      </c>
      <c r="G131">
        <v>3883</v>
      </c>
      <c r="H131">
        <v>9.16</v>
      </c>
      <c r="I131">
        <v>0</v>
      </c>
      <c r="J131">
        <v>1993</v>
      </c>
      <c r="K131" t="s">
        <v>32</v>
      </c>
      <c r="L131" t="s">
        <v>15</v>
      </c>
      <c r="M131" t="str">
        <f>IF(J131&gt;2010,"Yes","No")</f>
        <v>No</v>
      </c>
      <c r="N131">
        <f>F131/D131</f>
        <v>1.0419452887537994</v>
      </c>
      <c r="O131">
        <f>E131/D131</f>
        <v>14.945775075987841</v>
      </c>
    </row>
    <row r="132" spans="1:15" x14ac:dyDescent="0.3">
      <c r="A132" t="s">
        <v>193</v>
      </c>
      <c r="B132" t="s">
        <v>17</v>
      </c>
      <c r="C132">
        <v>3</v>
      </c>
      <c r="D132">
        <v>83.54</v>
      </c>
      <c r="E132">
        <v>1122.04</v>
      </c>
      <c r="F132">
        <v>12.71</v>
      </c>
      <c r="G132">
        <v>2963</v>
      </c>
      <c r="H132">
        <v>9.6199999999999992</v>
      </c>
      <c r="I132">
        <v>1</v>
      </c>
      <c r="J132">
        <v>2003</v>
      </c>
      <c r="K132" t="s">
        <v>28</v>
      </c>
      <c r="L132" t="s">
        <v>15</v>
      </c>
      <c r="M132" t="str">
        <f>IF(J132&gt;2010,"Yes","No")</f>
        <v>No</v>
      </c>
      <c r="N132">
        <f>F132/D132</f>
        <v>0.15214268613837684</v>
      </c>
      <c r="O132">
        <f>E132/D132</f>
        <v>13.431170696672252</v>
      </c>
    </row>
    <row r="133" spans="1:15" x14ac:dyDescent="0.3">
      <c r="A133" t="s">
        <v>247</v>
      </c>
      <c r="B133" t="s">
        <v>75</v>
      </c>
      <c r="C133">
        <v>2</v>
      </c>
      <c r="D133">
        <v>84.78</v>
      </c>
      <c r="E133">
        <v>427.78</v>
      </c>
      <c r="F133">
        <v>32.369999999999997</v>
      </c>
      <c r="G133">
        <v>187</v>
      </c>
      <c r="H133">
        <v>1.98</v>
      </c>
      <c r="I133">
        <v>1</v>
      </c>
      <c r="J133">
        <v>2021</v>
      </c>
      <c r="K133" t="s">
        <v>41</v>
      </c>
      <c r="L133" t="s">
        <v>15</v>
      </c>
      <c r="M133" t="str">
        <f>IF(J133&gt;2010,"Yes","No")</f>
        <v>Yes</v>
      </c>
      <c r="N133">
        <f>F133/D133</f>
        <v>0.38181174805378626</v>
      </c>
      <c r="O133">
        <f>E133/D133</f>
        <v>5.0457655107336636</v>
      </c>
    </row>
    <row r="134" spans="1:15" x14ac:dyDescent="0.3">
      <c r="A134" t="s">
        <v>298</v>
      </c>
      <c r="B134" t="s">
        <v>17</v>
      </c>
      <c r="C134">
        <v>4</v>
      </c>
      <c r="D134">
        <v>85.36</v>
      </c>
      <c r="E134">
        <v>279.52999999999997</v>
      </c>
      <c r="F134">
        <v>34.1</v>
      </c>
      <c r="G134">
        <v>4531</v>
      </c>
      <c r="H134">
        <v>2.23</v>
      </c>
      <c r="I134">
        <v>0</v>
      </c>
      <c r="J134">
        <v>2011</v>
      </c>
      <c r="K134" t="s">
        <v>14</v>
      </c>
      <c r="L134" t="s">
        <v>15</v>
      </c>
      <c r="M134" t="str">
        <f>IF(J134&gt;2010,"Yes","No")</f>
        <v>Yes</v>
      </c>
      <c r="N134">
        <f>F134/D134</f>
        <v>0.39948453608247425</v>
      </c>
      <c r="O134">
        <f>E134/D134</f>
        <v>3.2747188378631673</v>
      </c>
    </row>
    <row r="135" spans="1:15" x14ac:dyDescent="0.3">
      <c r="A135" t="s">
        <v>480</v>
      </c>
      <c r="B135" t="s">
        <v>17</v>
      </c>
      <c r="C135">
        <v>2</v>
      </c>
      <c r="D135">
        <v>85.51</v>
      </c>
      <c r="E135">
        <v>828.91</v>
      </c>
      <c r="F135">
        <v>82.02</v>
      </c>
      <c r="G135">
        <v>3568</v>
      </c>
      <c r="H135">
        <v>1.36</v>
      </c>
      <c r="I135">
        <v>0</v>
      </c>
      <c r="J135">
        <v>2017</v>
      </c>
      <c r="K135" t="s">
        <v>18</v>
      </c>
      <c r="L135" t="s">
        <v>15</v>
      </c>
      <c r="M135" t="str">
        <f>IF(J135&gt;2010,"Yes","No")</f>
        <v>Yes</v>
      </c>
      <c r="N135">
        <f>F135/D135</f>
        <v>0.95918606010992857</v>
      </c>
      <c r="O135">
        <f>E135/D135</f>
        <v>9.6937200327447073</v>
      </c>
    </row>
    <row r="136" spans="1:15" x14ac:dyDescent="0.3">
      <c r="A136" t="s">
        <v>367</v>
      </c>
      <c r="B136" t="s">
        <v>17</v>
      </c>
      <c r="C136">
        <v>5</v>
      </c>
      <c r="D136">
        <v>88.6</v>
      </c>
      <c r="E136">
        <v>1106.0899999999999</v>
      </c>
      <c r="F136">
        <v>25.31</v>
      </c>
      <c r="G136">
        <v>744</v>
      </c>
      <c r="H136">
        <v>4.75</v>
      </c>
      <c r="I136">
        <v>1</v>
      </c>
      <c r="J136">
        <v>2012</v>
      </c>
      <c r="K136" t="s">
        <v>14</v>
      </c>
      <c r="L136" t="s">
        <v>15</v>
      </c>
      <c r="M136" t="str">
        <f>IF(J136&gt;2010,"Yes","No")</f>
        <v>Yes</v>
      </c>
      <c r="N136">
        <f>F136/D136</f>
        <v>0.28566591422121895</v>
      </c>
      <c r="O136">
        <f>E136/D136</f>
        <v>12.484085778781038</v>
      </c>
    </row>
    <row r="137" spans="1:15" x14ac:dyDescent="0.3">
      <c r="A137" t="s">
        <v>189</v>
      </c>
      <c r="B137" t="s">
        <v>30</v>
      </c>
      <c r="C137">
        <v>2</v>
      </c>
      <c r="D137">
        <v>89.45</v>
      </c>
      <c r="E137">
        <v>429.04</v>
      </c>
      <c r="F137">
        <v>54.53</v>
      </c>
      <c r="G137">
        <v>1093</v>
      </c>
      <c r="H137">
        <v>4.3499999999999996</v>
      </c>
      <c r="I137">
        <v>0</v>
      </c>
      <c r="J137">
        <v>2001</v>
      </c>
      <c r="K137" t="s">
        <v>32</v>
      </c>
      <c r="L137" t="s">
        <v>15</v>
      </c>
      <c r="M137" t="str">
        <f>IF(J137&gt;2010,"Yes","No")</f>
        <v>No</v>
      </c>
      <c r="N137">
        <f>F137/D137</f>
        <v>0.6096143096702068</v>
      </c>
      <c r="O137">
        <f>E137/D137</f>
        <v>4.7964225824482956</v>
      </c>
    </row>
    <row r="138" spans="1:15" x14ac:dyDescent="0.3">
      <c r="A138" t="s">
        <v>335</v>
      </c>
      <c r="B138" t="s">
        <v>25</v>
      </c>
      <c r="C138">
        <v>5</v>
      </c>
      <c r="D138">
        <v>89.86</v>
      </c>
      <c r="E138">
        <v>792.14</v>
      </c>
      <c r="F138">
        <v>55.96</v>
      </c>
      <c r="G138">
        <v>544</v>
      </c>
      <c r="H138">
        <v>2.9</v>
      </c>
      <c r="I138">
        <v>0</v>
      </c>
      <c r="J138">
        <v>2011</v>
      </c>
      <c r="K138" t="s">
        <v>14</v>
      </c>
      <c r="L138" t="s">
        <v>15</v>
      </c>
      <c r="M138" t="str">
        <f>IF(J138&gt;2010,"Yes","No")</f>
        <v>Yes</v>
      </c>
      <c r="N138">
        <f>F138/D138</f>
        <v>0.6227464945470732</v>
      </c>
      <c r="O138">
        <f>E138/D138</f>
        <v>8.8152681949699527</v>
      </c>
    </row>
    <row r="139" spans="1:15" x14ac:dyDescent="0.3">
      <c r="A139" t="s">
        <v>424</v>
      </c>
      <c r="B139" t="s">
        <v>39</v>
      </c>
      <c r="C139">
        <v>5</v>
      </c>
      <c r="D139">
        <v>90</v>
      </c>
      <c r="E139">
        <v>1340.92</v>
      </c>
      <c r="F139">
        <v>4.53</v>
      </c>
      <c r="G139">
        <v>2660</v>
      </c>
      <c r="H139">
        <v>5.46</v>
      </c>
      <c r="I139">
        <v>0</v>
      </c>
      <c r="J139">
        <v>2002</v>
      </c>
      <c r="K139" t="s">
        <v>18</v>
      </c>
      <c r="L139" t="s">
        <v>15</v>
      </c>
      <c r="M139" t="str">
        <f>IF(J139&gt;2010,"Yes","No")</f>
        <v>No</v>
      </c>
      <c r="N139">
        <f>F139/D139</f>
        <v>5.0333333333333334E-2</v>
      </c>
      <c r="O139">
        <f>E139/D139</f>
        <v>14.899111111111113</v>
      </c>
    </row>
    <row r="140" spans="1:15" x14ac:dyDescent="0.3">
      <c r="A140" t="s">
        <v>349</v>
      </c>
      <c r="B140" t="s">
        <v>75</v>
      </c>
      <c r="C140">
        <v>1</v>
      </c>
      <c r="D140">
        <v>93.93</v>
      </c>
      <c r="E140">
        <v>544.02</v>
      </c>
      <c r="F140">
        <v>22.71</v>
      </c>
      <c r="G140">
        <v>4658</v>
      </c>
      <c r="H140">
        <v>8.61</v>
      </c>
      <c r="I140">
        <v>1</v>
      </c>
      <c r="J140">
        <v>1994</v>
      </c>
      <c r="K140" t="s">
        <v>14</v>
      </c>
      <c r="L140" t="s">
        <v>15</v>
      </c>
      <c r="M140" t="str">
        <f>IF(J140&gt;2010,"Yes","No")</f>
        <v>No</v>
      </c>
      <c r="N140">
        <f>F140/D140</f>
        <v>0.24177579048227402</v>
      </c>
      <c r="O140">
        <f>E140/D140</f>
        <v>5.7917598211434038</v>
      </c>
    </row>
    <row r="141" spans="1:15" x14ac:dyDescent="0.3">
      <c r="A141" t="s">
        <v>502</v>
      </c>
      <c r="B141" t="s">
        <v>75</v>
      </c>
      <c r="C141">
        <v>3</v>
      </c>
      <c r="D141">
        <v>93.99</v>
      </c>
      <c r="E141">
        <v>932.95</v>
      </c>
      <c r="F141">
        <v>57.97</v>
      </c>
      <c r="G141">
        <v>934</v>
      </c>
      <c r="H141">
        <v>9.89</v>
      </c>
      <c r="I141">
        <v>1</v>
      </c>
      <c r="J141">
        <v>1993</v>
      </c>
      <c r="K141" t="s">
        <v>28</v>
      </c>
      <c r="L141" t="s">
        <v>15</v>
      </c>
      <c r="M141" t="str">
        <f>IF(J141&gt;2010,"Yes","No")</f>
        <v>No</v>
      </c>
      <c r="N141">
        <f>F141/D141</f>
        <v>0.61676774124906908</v>
      </c>
      <c r="O141">
        <f>E141/D141</f>
        <v>9.926055963400362</v>
      </c>
    </row>
    <row r="142" spans="1:15" x14ac:dyDescent="0.3">
      <c r="A142" t="s">
        <v>139</v>
      </c>
      <c r="B142" t="s">
        <v>34</v>
      </c>
      <c r="C142">
        <v>3</v>
      </c>
      <c r="D142">
        <v>94.2</v>
      </c>
      <c r="E142">
        <v>1022.67</v>
      </c>
      <c r="F142">
        <v>73.27</v>
      </c>
      <c r="G142">
        <v>3807</v>
      </c>
      <c r="H142">
        <v>5.22</v>
      </c>
      <c r="I142">
        <v>0</v>
      </c>
      <c r="J142">
        <v>2008</v>
      </c>
      <c r="K142" t="s">
        <v>41</v>
      </c>
      <c r="L142" t="s">
        <v>15</v>
      </c>
      <c r="M142" t="str">
        <f>IF(J142&gt;2010,"Yes","No")</f>
        <v>No</v>
      </c>
      <c r="N142">
        <f>F142/D142</f>
        <v>0.77781316348195317</v>
      </c>
      <c r="O142">
        <f>E142/D142</f>
        <v>10.856369426751591</v>
      </c>
    </row>
    <row r="143" spans="1:15" x14ac:dyDescent="0.3">
      <c r="A143" t="s">
        <v>115</v>
      </c>
      <c r="B143" t="s">
        <v>30</v>
      </c>
      <c r="C143">
        <v>3</v>
      </c>
      <c r="D143">
        <v>94.72</v>
      </c>
      <c r="E143">
        <v>475.62</v>
      </c>
      <c r="F143">
        <v>92.27</v>
      </c>
      <c r="G143">
        <v>3834</v>
      </c>
      <c r="H143">
        <v>1.99</v>
      </c>
      <c r="I143">
        <v>1</v>
      </c>
      <c r="J143">
        <v>1993</v>
      </c>
      <c r="K143" t="s">
        <v>28</v>
      </c>
      <c r="L143" t="s">
        <v>15</v>
      </c>
      <c r="M143" t="str">
        <f>IF(J143&gt;2010,"Yes","No")</f>
        <v>No</v>
      </c>
      <c r="N143">
        <f>F143/D143</f>
        <v>0.97413429054054046</v>
      </c>
      <c r="O143">
        <f>E143/D143</f>
        <v>5.021326013513514</v>
      </c>
    </row>
    <row r="144" spans="1:15" x14ac:dyDescent="0.3">
      <c r="A144" t="s">
        <v>350</v>
      </c>
      <c r="B144" t="s">
        <v>39</v>
      </c>
      <c r="C144">
        <v>5</v>
      </c>
      <c r="D144">
        <v>96.56</v>
      </c>
      <c r="E144">
        <v>545.53</v>
      </c>
      <c r="F144">
        <v>73.05</v>
      </c>
      <c r="G144">
        <v>3601</v>
      </c>
      <c r="H144">
        <v>0.45</v>
      </c>
      <c r="I144">
        <v>0</v>
      </c>
      <c r="J144">
        <v>1993</v>
      </c>
      <c r="K144" t="s">
        <v>28</v>
      </c>
      <c r="L144" t="s">
        <v>15</v>
      </c>
      <c r="M144" t="str">
        <f>IF(J144&gt;2010,"Yes","No")</f>
        <v>No</v>
      </c>
      <c r="N144">
        <f>F144/D144</f>
        <v>0.75652444076222036</v>
      </c>
      <c r="O144">
        <f>E144/D144</f>
        <v>5.6496478873239431</v>
      </c>
    </row>
    <row r="145" spans="1:15" x14ac:dyDescent="0.3">
      <c r="A145" t="s">
        <v>411</v>
      </c>
      <c r="B145" t="s">
        <v>21</v>
      </c>
      <c r="C145">
        <v>5</v>
      </c>
      <c r="D145">
        <v>96.97</v>
      </c>
      <c r="E145">
        <v>413.9</v>
      </c>
      <c r="F145">
        <v>44.8</v>
      </c>
      <c r="G145">
        <v>199</v>
      </c>
      <c r="H145">
        <v>0.23</v>
      </c>
      <c r="I145">
        <v>0</v>
      </c>
      <c r="J145">
        <v>2018</v>
      </c>
      <c r="K145" t="s">
        <v>32</v>
      </c>
      <c r="L145" t="s">
        <v>15</v>
      </c>
      <c r="M145" t="str">
        <f>IF(J145&gt;2010,"Yes","No")</f>
        <v>Yes</v>
      </c>
      <c r="N145">
        <f>F145/D145</f>
        <v>0.46199855625451169</v>
      </c>
      <c r="O145">
        <f>E145/D145</f>
        <v>4.2683304114674643</v>
      </c>
    </row>
    <row r="146" spans="1:15" x14ac:dyDescent="0.3">
      <c r="A146" t="s">
        <v>380</v>
      </c>
      <c r="B146" t="s">
        <v>17</v>
      </c>
      <c r="C146">
        <v>5</v>
      </c>
      <c r="D146">
        <v>98.11</v>
      </c>
      <c r="E146">
        <v>1054.98</v>
      </c>
      <c r="F146">
        <v>46.5</v>
      </c>
      <c r="G146">
        <v>2750</v>
      </c>
      <c r="H146">
        <v>7.23</v>
      </c>
      <c r="I146">
        <v>1</v>
      </c>
      <c r="J146">
        <v>1998</v>
      </c>
      <c r="K146" t="s">
        <v>18</v>
      </c>
      <c r="L146" t="s">
        <v>23</v>
      </c>
      <c r="M146" t="str">
        <f>IF(J146&gt;2010,"Yes","No")</f>
        <v>No</v>
      </c>
      <c r="N146">
        <f>F146/D146</f>
        <v>0.47395780246661912</v>
      </c>
      <c r="O146">
        <f>E146/D146</f>
        <v>10.753032310671696</v>
      </c>
    </row>
    <row r="147" spans="1:15" x14ac:dyDescent="0.3">
      <c r="A147" t="s">
        <v>291</v>
      </c>
      <c r="B147" t="s">
        <v>34</v>
      </c>
      <c r="C147">
        <v>1</v>
      </c>
      <c r="D147">
        <v>98.27</v>
      </c>
      <c r="E147">
        <v>1089.98</v>
      </c>
      <c r="F147">
        <v>0.48</v>
      </c>
      <c r="G147">
        <v>3801</v>
      </c>
      <c r="H147">
        <v>9.3699999999999992</v>
      </c>
      <c r="I147">
        <v>1</v>
      </c>
      <c r="J147">
        <v>2017</v>
      </c>
      <c r="K147" t="s">
        <v>32</v>
      </c>
      <c r="L147" t="s">
        <v>15</v>
      </c>
      <c r="M147" t="str">
        <f>IF(J147&gt;2010,"Yes","No")</f>
        <v>Yes</v>
      </c>
      <c r="N147">
        <f>F147/D147</f>
        <v>4.8845018825684336E-3</v>
      </c>
      <c r="O147">
        <f>E147/D147</f>
        <v>11.091686170754045</v>
      </c>
    </row>
    <row r="148" spans="1:15" x14ac:dyDescent="0.3">
      <c r="A148" t="s">
        <v>444</v>
      </c>
      <c r="B148" t="s">
        <v>34</v>
      </c>
      <c r="C148">
        <v>4</v>
      </c>
      <c r="D148">
        <v>99.04</v>
      </c>
      <c r="E148">
        <v>379.43</v>
      </c>
      <c r="F148">
        <v>29.74</v>
      </c>
      <c r="G148">
        <v>220</v>
      </c>
      <c r="H148">
        <v>8.73</v>
      </c>
      <c r="I148">
        <v>0</v>
      </c>
      <c r="J148">
        <v>2015</v>
      </c>
      <c r="K148" t="s">
        <v>41</v>
      </c>
      <c r="L148" t="s">
        <v>23</v>
      </c>
      <c r="M148" t="str">
        <f>IF(J148&gt;2010,"Yes","No")</f>
        <v>Yes</v>
      </c>
      <c r="N148">
        <f>F148/D148</f>
        <v>0.30028271405492729</v>
      </c>
      <c r="O148">
        <f>E148/D148</f>
        <v>3.8310783521809366</v>
      </c>
    </row>
    <row r="149" spans="1:15" x14ac:dyDescent="0.3">
      <c r="A149" t="s">
        <v>244</v>
      </c>
      <c r="B149" t="s">
        <v>30</v>
      </c>
      <c r="C149">
        <v>3</v>
      </c>
      <c r="D149">
        <v>99.05</v>
      </c>
      <c r="E149">
        <v>1440.19</v>
      </c>
      <c r="F149">
        <v>48.59</v>
      </c>
      <c r="G149">
        <v>3863</v>
      </c>
      <c r="H149">
        <v>5.52</v>
      </c>
      <c r="I149">
        <v>1</v>
      </c>
      <c r="J149">
        <v>2020</v>
      </c>
      <c r="K149" t="s">
        <v>18</v>
      </c>
      <c r="L149" t="s">
        <v>15</v>
      </c>
      <c r="M149" t="str">
        <f>IF(J149&gt;2010,"Yes","No")</f>
        <v>Yes</v>
      </c>
      <c r="N149">
        <f>F149/D149</f>
        <v>0.49056032306915703</v>
      </c>
      <c r="O149">
        <f>E149/D149</f>
        <v>14.540030287733469</v>
      </c>
    </row>
    <row r="150" spans="1:15" x14ac:dyDescent="0.3">
      <c r="A150" t="s">
        <v>513</v>
      </c>
      <c r="B150" t="s">
        <v>34</v>
      </c>
      <c r="C150">
        <v>2</v>
      </c>
      <c r="D150">
        <v>99.6</v>
      </c>
      <c r="E150">
        <v>1084.72</v>
      </c>
      <c r="F150">
        <v>64.61</v>
      </c>
      <c r="G150">
        <v>3676</v>
      </c>
      <c r="H150">
        <v>0.55000000000000004</v>
      </c>
      <c r="I150">
        <v>0</v>
      </c>
      <c r="J150">
        <v>2021</v>
      </c>
      <c r="K150" t="s">
        <v>28</v>
      </c>
      <c r="L150" t="s">
        <v>15</v>
      </c>
      <c r="M150" t="str">
        <f>IF(J150&gt;2010,"Yes","No")</f>
        <v>Yes</v>
      </c>
      <c r="N150">
        <f>F150/D150</f>
        <v>0.64869477911646589</v>
      </c>
      <c r="O150">
        <f>E150/D150</f>
        <v>10.890763052208836</v>
      </c>
    </row>
    <row r="151" spans="1:15" x14ac:dyDescent="0.3">
      <c r="A151" t="s">
        <v>453</v>
      </c>
      <c r="B151" t="s">
        <v>30</v>
      </c>
      <c r="C151">
        <v>5</v>
      </c>
      <c r="D151">
        <v>100.03</v>
      </c>
      <c r="E151">
        <v>1404.78</v>
      </c>
      <c r="F151">
        <v>87.17</v>
      </c>
      <c r="G151">
        <v>2057</v>
      </c>
      <c r="H151">
        <v>9.4600000000000009</v>
      </c>
      <c r="I151">
        <v>1</v>
      </c>
      <c r="J151">
        <v>2000</v>
      </c>
      <c r="K151" t="s">
        <v>28</v>
      </c>
      <c r="L151" t="s">
        <v>15</v>
      </c>
      <c r="M151" t="str">
        <f>IF(J151&gt;2010,"Yes","No")</f>
        <v>No</v>
      </c>
      <c r="N151">
        <f>F151/D151</f>
        <v>0.87143856842947121</v>
      </c>
      <c r="O151">
        <f>E151/D151</f>
        <v>14.043586923922822</v>
      </c>
    </row>
    <row r="152" spans="1:15" x14ac:dyDescent="0.3">
      <c r="A152" t="s">
        <v>271</v>
      </c>
      <c r="B152" t="s">
        <v>17</v>
      </c>
      <c r="C152">
        <v>2</v>
      </c>
      <c r="D152">
        <v>100.54</v>
      </c>
      <c r="E152">
        <v>443.56</v>
      </c>
      <c r="F152">
        <v>52.59</v>
      </c>
      <c r="G152">
        <v>893</v>
      </c>
      <c r="H152">
        <v>5.68</v>
      </c>
      <c r="I152">
        <v>1</v>
      </c>
      <c r="J152">
        <v>2021</v>
      </c>
      <c r="K152" t="s">
        <v>14</v>
      </c>
      <c r="L152" t="s">
        <v>15</v>
      </c>
      <c r="M152" t="str">
        <f>IF(J152&gt;2010,"Yes","No")</f>
        <v>Yes</v>
      </c>
      <c r="N152">
        <f>F152/D152</f>
        <v>0.52307539287845639</v>
      </c>
      <c r="O152">
        <f>E152/D152</f>
        <v>4.4117764074000396</v>
      </c>
    </row>
    <row r="153" spans="1:15" x14ac:dyDescent="0.3">
      <c r="A153" t="s">
        <v>12</v>
      </c>
      <c r="B153" t="s">
        <v>13</v>
      </c>
      <c r="C153">
        <v>1</v>
      </c>
      <c r="D153">
        <v>101.09</v>
      </c>
      <c r="E153">
        <v>844.75</v>
      </c>
      <c r="F153">
        <v>67.87</v>
      </c>
      <c r="G153">
        <v>1468</v>
      </c>
      <c r="H153">
        <v>5.2</v>
      </c>
      <c r="I153">
        <v>0</v>
      </c>
      <c r="J153">
        <v>2006</v>
      </c>
      <c r="K153" t="s">
        <v>14</v>
      </c>
      <c r="L153" t="s">
        <v>15</v>
      </c>
      <c r="M153" t="str">
        <f>IF(J153&gt;2010,"Yes","No")</f>
        <v>No</v>
      </c>
      <c r="N153">
        <f>F153/D153</f>
        <v>0.67138193688792169</v>
      </c>
      <c r="O153">
        <f>E153/D153</f>
        <v>8.356415075675141</v>
      </c>
    </row>
    <row r="154" spans="1:15" x14ac:dyDescent="0.3">
      <c r="A154" t="s">
        <v>184</v>
      </c>
      <c r="B154" t="s">
        <v>13</v>
      </c>
      <c r="C154">
        <v>3</v>
      </c>
      <c r="D154">
        <v>101.24</v>
      </c>
      <c r="E154">
        <v>1192.96</v>
      </c>
      <c r="F154">
        <v>97.81</v>
      </c>
      <c r="G154">
        <v>3564</v>
      </c>
      <c r="H154">
        <v>5.63</v>
      </c>
      <c r="I154">
        <v>1</v>
      </c>
      <c r="J154">
        <v>1994</v>
      </c>
      <c r="K154" t="s">
        <v>28</v>
      </c>
      <c r="L154" t="s">
        <v>26</v>
      </c>
      <c r="M154" t="str">
        <f>IF(J154&gt;2010,"Yes","No")</f>
        <v>No</v>
      </c>
      <c r="N154">
        <f>F154/D154</f>
        <v>0.96612011062821024</v>
      </c>
      <c r="O154">
        <f>E154/D154</f>
        <v>11.783484788621099</v>
      </c>
    </row>
    <row r="155" spans="1:15" x14ac:dyDescent="0.3">
      <c r="A155" t="s">
        <v>103</v>
      </c>
      <c r="B155" t="s">
        <v>39</v>
      </c>
      <c r="C155">
        <v>1</v>
      </c>
      <c r="D155">
        <v>103.64</v>
      </c>
      <c r="E155">
        <v>1118.1600000000001</v>
      </c>
      <c r="F155">
        <v>93.74</v>
      </c>
      <c r="G155">
        <v>1914</v>
      </c>
      <c r="H155">
        <v>5.51</v>
      </c>
      <c r="I155">
        <v>1</v>
      </c>
      <c r="J155">
        <v>2021</v>
      </c>
      <c r="K155" t="s">
        <v>41</v>
      </c>
      <c r="L155" t="s">
        <v>23</v>
      </c>
      <c r="M155" t="str">
        <f>IF(J155&gt;2010,"Yes","No")</f>
        <v>Yes</v>
      </c>
      <c r="N155">
        <f>F155/D155</f>
        <v>0.90447703589347739</v>
      </c>
      <c r="O155">
        <f>E155/D155</f>
        <v>10.788884600540333</v>
      </c>
    </row>
    <row r="156" spans="1:15" x14ac:dyDescent="0.3">
      <c r="A156" t="s">
        <v>24</v>
      </c>
      <c r="B156" t="s">
        <v>25</v>
      </c>
      <c r="C156">
        <v>5</v>
      </c>
      <c r="D156">
        <v>103.89</v>
      </c>
      <c r="E156">
        <v>1541.76</v>
      </c>
      <c r="F156">
        <v>12.56</v>
      </c>
      <c r="G156">
        <v>1462</v>
      </c>
      <c r="H156">
        <v>8.9600000000000009</v>
      </c>
      <c r="I156">
        <v>1</v>
      </c>
      <c r="J156">
        <v>2004</v>
      </c>
      <c r="K156" t="s">
        <v>14</v>
      </c>
      <c r="L156" t="s">
        <v>26</v>
      </c>
      <c r="M156" t="str">
        <f>IF(J156&gt;2010,"Yes","No")</f>
        <v>No</v>
      </c>
      <c r="N156">
        <f>F156/D156</f>
        <v>0.1208971027047839</v>
      </c>
      <c r="O156">
        <f>E156/D156</f>
        <v>14.840311868322264</v>
      </c>
    </row>
    <row r="157" spans="1:15" x14ac:dyDescent="0.3">
      <c r="A157" t="s">
        <v>402</v>
      </c>
      <c r="B157" t="s">
        <v>34</v>
      </c>
      <c r="C157">
        <v>4</v>
      </c>
      <c r="D157">
        <v>104.13</v>
      </c>
      <c r="E157">
        <v>1288.51</v>
      </c>
      <c r="F157">
        <v>4.07</v>
      </c>
      <c r="G157">
        <v>2212</v>
      </c>
      <c r="H157">
        <v>0.87</v>
      </c>
      <c r="I157">
        <v>0</v>
      </c>
      <c r="J157">
        <v>1992</v>
      </c>
      <c r="K157" t="s">
        <v>18</v>
      </c>
      <c r="L157" t="s">
        <v>23</v>
      </c>
      <c r="M157" t="str">
        <f>IF(J157&gt;2010,"Yes","No")</f>
        <v>No</v>
      </c>
      <c r="N157">
        <f>F157/D157</f>
        <v>3.9085758186881786E-2</v>
      </c>
      <c r="O157">
        <f>E157/D157</f>
        <v>12.374051666186498</v>
      </c>
    </row>
    <row r="158" spans="1:15" x14ac:dyDescent="0.3">
      <c r="A158" t="s">
        <v>104</v>
      </c>
      <c r="B158" t="s">
        <v>17</v>
      </c>
      <c r="C158">
        <v>5</v>
      </c>
      <c r="D158">
        <v>105.79</v>
      </c>
      <c r="E158">
        <v>734.24</v>
      </c>
      <c r="F158">
        <v>70.63</v>
      </c>
      <c r="G158">
        <v>3735</v>
      </c>
      <c r="H158">
        <v>5.37</v>
      </c>
      <c r="I158">
        <v>1</v>
      </c>
      <c r="J158">
        <v>2007</v>
      </c>
      <c r="K158" t="s">
        <v>14</v>
      </c>
      <c r="L158" t="s">
        <v>26</v>
      </c>
      <c r="M158" t="str">
        <f>IF(J158&gt;2010,"Yes","No")</f>
        <v>No</v>
      </c>
      <c r="N158">
        <f>F158/D158</f>
        <v>0.66764344455997726</v>
      </c>
      <c r="O158">
        <f>E158/D158</f>
        <v>6.940542584365252</v>
      </c>
    </row>
    <row r="159" spans="1:15" x14ac:dyDescent="0.3">
      <c r="A159" t="s">
        <v>78</v>
      </c>
      <c r="B159" t="s">
        <v>25</v>
      </c>
      <c r="C159">
        <v>3</v>
      </c>
      <c r="D159">
        <v>106.48</v>
      </c>
      <c r="E159">
        <v>1086.8699999999999</v>
      </c>
      <c r="F159">
        <v>63.79</v>
      </c>
      <c r="G159">
        <v>387</v>
      </c>
      <c r="H159">
        <v>8.9</v>
      </c>
      <c r="I159">
        <v>0</v>
      </c>
      <c r="J159">
        <v>1991</v>
      </c>
      <c r="K159" t="s">
        <v>14</v>
      </c>
      <c r="L159" t="s">
        <v>23</v>
      </c>
      <c r="M159" t="str">
        <f>IF(J159&gt;2010,"Yes","No")</f>
        <v>No</v>
      </c>
      <c r="N159">
        <f>F159/D159</f>
        <v>0.59907963936889552</v>
      </c>
      <c r="O159">
        <f>E159/D159</f>
        <v>10.207268970698721</v>
      </c>
    </row>
    <row r="160" spans="1:15" x14ac:dyDescent="0.3">
      <c r="A160" t="s">
        <v>524</v>
      </c>
      <c r="B160" t="s">
        <v>25</v>
      </c>
      <c r="C160">
        <v>2</v>
      </c>
      <c r="D160">
        <v>107.34</v>
      </c>
      <c r="E160">
        <v>1394.58</v>
      </c>
      <c r="F160">
        <v>10.220000000000001</v>
      </c>
      <c r="G160">
        <v>2223</v>
      </c>
      <c r="H160">
        <v>5.85</v>
      </c>
      <c r="I160">
        <v>0</v>
      </c>
      <c r="J160">
        <v>2019</v>
      </c>
      <c r="K160" t="s">
        <v>18</v>
      </c>
      <c r="L160" t="s">
        <v>15</v>
      </c>
      <c r="M160" t="str">
        <f>IF(J160&gt;2010,"Yes","No")</f>
        <v>Yes</v>
      </c>
      <c r="N160">
        <f>F160/D160</f>
        <v>9.5211477547978388E-2</v>
      </c>
      <c r="O160">
        <f>E160/D160</f>
        <v>12.992174399105645</v>
      </c>
    </row>
    <row r="161" spans="1:15" x14ac:dyDescent="0.3">
      <c r="A161" t="s">
        <v>410</v>
      </c>
      <c r="B161" t="s">
        <v>30</v>
      </c>
      <c r="C161">
        <v>5</v>
      </c>
      <c r="D161">
        <v>107.66</v>
      </c>
      <c r="E161">
        <v>1463.05</v>
      </c>
      <c r="F161">
        <v>47.03</v>
      </c>
      <c r="G161">
        <v>4716</v>
      </c>
      <c r="H161">
        <v>4.2</v>
      </c>
      <c r="I161">
        <v>1</v>
      </c>
      <c r="J161">
        <v>1997</v>
      </c>
      <c r="K161" t="s">
        <v>32</v>
      </c>
      <c r="L161" t="s">
        <v>23</v>
      </c>
      <c r="M161" t="str">
        <f>IF(J161&gt;2010,"Yes","No")</f>
        <v>No</v>
      </c>
      <c r="N161">
        <f>F161/D161</f>
        <v>0.43683819431543752</v>
      </c>
      <c r="O161">
        <f>E161/D161</f>
        <v>13.589541148058704</v>
      </c>
    </row>
    <row r="162" spans="1:15" x14ac:dyDescent="0.3">
      <c r="A162" t="s">
        <v>481</v>
      </c>
      <c r="B162" t="s">
        <v>75</v>
      </c>
      <c r="C162">
        <v>3</v>
      </c>
      <c r="D162">
        <v>108.07</v>
      </c>
      <c r="E162">
        <v>558.41</v>
      </c>
      <c r="F162">
        <v>69.52</v>
      </c>
      <c r="G162">
        <v>1610</v>
      </c>
      <c r="H162">
        <v>2.93</v>
      </c>
      <c r="I162">
        <v>1</v>
      </c>
      <c r="J162">
        <v>2006</v>
      </c>
      <c r="K162" t="s">
        <v>14</v>
      </c>
      <c r="L162" t="s">
        <v>15</v>
      </c>
      <c r="M162" t="str">
        <f>IF(J162&gt;2010,"Yes","No")</f>
        <v>No</v>
      </c>
      <c r="N162">
        <f>F162/D162</f>
        <v>0.64328675858240025</v>
      </c>
      <c r="O162">
        <f>E162/D162</f>
        <v>5.1671139076524479</v>
      </c>
    </row>
    <row r="163" spans="1:15" x14ac:dyDescent="0.3">
      <c r="A163" t="s">
        <v>521</v>
      </c>
      <c r="B163" t="s">
        <v>75</v>
      </c>
      <c r="C163">
        <v>5</v>
      </c>
      <c r="D163">
        <v>108.1</v>
      </c>
      <c r="E163">
        <v>1004.24</v>
      </c>
      <c r="F163">
        <v>38.65</v>
      </c>
      <c r="G163">
        <v>3588</v>
      </c>
      <c r="H163">
        <v>1.04</v>
      </c>
      <c r="I163">
        <v>0</v>
      </c>
      <c r="J163">
        <v>2006</v>
      </c>
      <c r="K163" t="s">
        <v>32</v>
      </c>
      <c r="L163" t="s">
        <v>15</v>
      </c>
      <c r="M163" t="str">
        <f>IF(J163&gt;2010,"Yes","No")</f>
        <v>No</v>
      </c>
      <c r="N163">
        <f>F163/D163</f>
        <v>0.35753931544865863</v>
      </c>
      <c r="O163">
        <f>E163/D163</f>
        <v>9.2899167437557821</v>
      </c>
    </row>
    <row r="164" spans="1:15" x14ac:dyDescent="0.3">
      <c r="A164" t="s">
        <v>29</v>
      </c>
      <c r="B164" t="s">
        <v>30</v>
      </c>
      <c r="C164">
        <v>5</v>
      </c>
      <c r="D164">
        <v>109.15</v>
      </c>
      <c r="E164">
        <v>630.19000000000005</v>
      </c>
      <c r="F164">
        <v>64.37</v>
      </c>
      <c r="G164">
        <v>3420</v>
      </c>
      <c r="H164">
        <v>9.02</v>
      </c>
      <c r="I164">
        <v>1</v>
      </c>
      <c r="J164">
        <v>2002</v>
      </c>
      <c r="K164" t="s">
        <v>28</v>
      </c>
      <c r="L164" t="s">
        <v>26</v>
      </c>
      <c r="M164" t="str">
        <f>IF(J164&gt;2010,"Yes","No")</f>
        <v>No</v>
      </c>
      <c r="N164">
        <f>F164/D164</f>
        <v>0.58973889143380664</v>
      </c>
      <c r="O164">
        <f>E164/D164</f>
        <v>5.77361429225836</v>
      </c>
    </row>
    <row r="165" spans="1:15" x14ac:dyDescent="0.3">
      <c r="A165" t="s">
        <v>19</v>
      </c>
      <c r="B165" t="s">
        <v>17</v>
      </c>
      <c r="C165">
        <v>1</v>
      </c>
      <c r="D165">
        <v>109.24</v>
      </c>
      <c r="E165">
        <v>1059.3699999999999</v>
      </c>
      <c r="F165">
        <v>84.21</v>
      </c>
      <c r="G165">
        <v>4933</v>
      </c>
      <c r="H165">
        <v>2.61</v>
      </c>
      <c r="I165">
        <v>1</v>
      </c>
      <c r="J165">
        <v>1995</v>
      </c>
      <c r="K165" t="s">
        <v>18</v>
      </c>
      <c r="L165" t="s">
        <v>15</v>
      </c>
      <c r="M165" t="str">
        <f>IF(J165&gt;2010,"Yes","No")</f>
        <v>No</v>
      </c>
      <c r="N165">
        <f>F165/D165</f>
        <v>0.77087147564994507</v>
      </c>
      <c r="O165">
        <f>E165/D165</f>
        <v>9.6976382277553999</v>
      </c>
    </row>
    <row r="166" spans="1:15" x14ac:dyDescent="0.3">
      <c r="A166" t="s">
        <v>152</v>
      </c>
      <c r="B166" t="s">
        <v>17</v>
      </c>
      <c r="C166">
        <v>5</v>
      </c>
      <c r="D166">
        <v>109.73</v>
      </c>
      <c r="E166">
        <v>1274.1400000000001</v>
      </c>
      <c r="F166">
        <v>33.89</v>
      </c>
      <c r="G166">
        <v>2389</v>
      </c>
      <c r="H166">
        <v>4.54</v>
      </c>
      <c r="I166">
        <v>1</v>
      </c>
      <c r="J166">
        <v>2000</v>
      </c>
      <c r="K166" t="s">
        <v>28</v>
      </c>
      <c r="L166" t="s">
        <v>15</v>
      </c>
      <c r="M166" t="str">
        <f>IF(J166&gt;2010,"Yes","No")</f>
        <v>No</v>
      </c>
      <c r="N166">
        <f>F166/D166</f>
        <v>0.30884899298277591</v>
      </c>
      <c r="O166">
        <f>E166/D166</f>
        <v>11.611592089674657</v>
      </c>
    </row>
    <row r="167" spans="1:15" x14ac:dyDescent="0.3">
      <c r="A167" t="s">
        <v>324</v>
      </c>
      <c r="B167" t="s">
        <v>17</v>
      </c>
      <c r="C167">
        <v>2</v>
      </c>
      <c r="D167">
        <v>111.86</v>
      </c>
      <c r="E167">
        <v>1511.59</v>
      </c>
      <c r="F167">
        <v>42.2</v>
      </c>
      <c r="G167">
        <v>3176</v>
      </c>
      <c r="H167">
        <v>9.1199999999999992</v>
      </c>
      <c r="I167">
        <v>0</v>
      </c>
      <c r="J167">
        <v>2001</v>
      </c>
      <c r="K167" t="s">
        <v>32</v>
      </c>
      <c r="L167" t="s">
        <v>15</v>
      </c>
      <c r="M167" t="str">
        <f>IF(J167&gt;2010,"Yes","No")</f>
        <v>No</v>
      </c>
      <c r="N167">
        <f>F167/D167</f>
        <v>0.37725728589308066</v>
      </c>
      <c r="O167">
        <f>E167/D167</f>
        <v>13.513230824244591</v>
      </c>
    </row>
    <row r="168" spans="1:15" x14ac:dyDescent="0.3">
      <c r="A168" t="s">
        <v>490</v>
      </c>
      <c r="B168" t="s">
        <v>39</v>
      </c>
      <c r="C168">
        <v>4</v>
      </c>
      <c r="D168">
        <v>112.17</v>
      </c>
      <c r="E168">
        <v>460.17</v>
      </c>
      <c r="F168">
        <v>81.69</v>
      </c>
      <c r="G168">
        <v>890</v>
      </c>
      <c r="H168">
        <v>0.25</v>
      </c>
      <c r="I168">
        <v>0</v>
      </c>
      <c r="J168">
        <v>1996</v>
      </c>
      <c r="K168" t="s">
        <v>14</v>
      </c>
      <c r="L168" t="s">
        <v>15</v>
      </c>
      <c r="M168" t="str">
        <f>IF(J168&gt;2010,"Yes","No")</f>
        <v>No</v>
      </c>
      <c r="N168">
        <f>F168/D168</f>
        <v>0.72826959079967901</v>
      </c>
      <c r="O168">
        <f>E168/D168</f>
        <v>4.1024338058304357</v>
      </c>
    </row>
    <row r="169" spans="1:15" x14ac:dyDescent="0.3">
      <c r="A169" t="s">
        <v>294</v>
      </c>
      <c r="B169" t="s">
        <v>17</v>
      </c>
      <c r="C169">
        <v>3</v>
      </c>
      <c r="D169">
        <v>113.32</v>
      </c>
      <c r="E169">
        <v>532.08000000000004</v>
      </c>
      <c r="F169">
        <v>65.56</v>
      </c>
      <c r="G169">
        <v>933</v>
      </c>
      <c r="H169">
        <v>2.2799999999999998</v>
      </c>
      <c r="I169">
        <v>0</v>
      </c>
      <c r="J169">
        <v>1999</v>
      </c>
      <c r="K169" t="s">
        <v>28</v>
      </c>
      <c r="L169" t="s">
        <v>15</v>
      </c>
      <c r="M169" t="str">
        <f>IF(J169&gt;2010,"Yes","No")</f>
        <v>No</v>
      </c>
      <c r="N169">
        <f>F169/D169</f>
        <v>0.57853865160607132</v>
      </c>
      <c r="O169">
        <f>E169/D169</f>
        <v>4.6953759265795982</v>
      </c>
    </row>
    <row r="170" spans="1:15" x14ac:dyDescent="0.3">
      <c r="A170" t="s">
        <v>522</v>
      </c>
      <c r="B170" t="s">
        <v>75</v>
      </c>
      <c r="C170">
        <v>4</v>
      </c>
      <c r="D170">
        <v>114.12</v>
      </c>
      <c r="E170">
        <v>1503.71</v>
      </c>
      <c r="F170">
        <v>79.19</v>
      </c>
      <c r="G170">
        <v>4014</v>
      </c>
      <c r="H170">
        <v>1.1299999999999999</v>
      </c>
      <c r="I170">
        <v>1</v>
      </c>
      <c r="J170">
        <v>2015</v>
      </c>
      <c r="K170" t="s">
        <v>14</v>
      </c>
      <c r="L170" t="s">
        <v>26</v>
      </c>
      <c r="M170" t="str">
        <f>IF(J170&gt;2010,"Yes","No")</f>
        <v>Yes</v>
      </c>
      <c r="N170">
        <f>F170/D170</f>
        <v>0.69391868208902907</v>
      </c>
      <c r="O170">
        <f>E170/D170</f>
        <v>13.176568524360322</v>
      </c>
    </row>
    <row r="171" spans="1:15" x14ac:dyDescent="0.3">
      <c r="A171" t="s">
        <v>321</v>
      </c>
      <c r="B171" t="s">
        <v>75</v>
      </c>
      <c r="C171">
        <v>4</v>
      </c>
      <c r="D171">
        <v>115.39</v>
      </c>
      <c r="E171">
        <v>515.15</v>
      </c>
      <c r="F171">
        <v>80.260000000000005</v>
      </c>
      <c r="G171">
        <v>3898</v>
      </c>
      <c r="H171">
        <v>3.62</v>
      </c>
      <c r="I171">
        <v>0</v>
      </c>
      <c r="J171">
        <v>1991</v>
      </c>
      <c r="K171" t="s">
        <v>41</v>
      </c>
      <c r="L171" t="s">
        <v>23</v>
      </c>
      <c r="M171" t="str">
        <f>IF(J171&gt;2010,"Yes","No")</f>
        <v>No</v>
      </c>
      <c r="N171">
        <f>F171/D171</f>
        <v>0.69555420747031804</v>
      </c>
      <c r="O171">
        <f>E171/D171</f>
        <v>4.4644249935003035</v>
      </c>
    </row>
    <row r="172" spans="1:15" x14ac:dyDescent="0.3">
      <c r="A172" t="s">
        <v>482</v>
      </c>
      <c r="B172" t="s">
        <v>30</v>
      </c>
      <c r="C172">
        <v>4</v>
      </c>
      <c r="D172">
        <v>115.46</v>
      </c>
      <c r="E172">
        <v>421</v>
      </c>
      <c r="F172">
        <v>53.3</v>
      </c>
      <c r="G172">
        <v>3757</v>
      </c>
      <c r="H172">
        <v>5.36</v>
      </c>
      <c r="I172">
        <v>0</v>
      </c>
      <c r="J172">
        <v>1992</v>
      </c>
      <c r="K172" t="s">
        <v>14</v>
      </c>
      <c r="L172" t="s">
        <v>15</v>
      </c>
      <c r="M172" t="str">
        <f>IF(J172&gt;2010,"Yes","No")</f>
        <v>No</v>
      </c>
      <c r="N172">
        <f>F172/D172</f>
        <v>0.46163173393382989</v>
      </c>
      <c r="O172">
        <f>E172/D172</f>
        <v>3.646284427507362</v>
      </c>
    </row>
    <row r="173" spans="1:15" x14ac:dyDescent="0.3">
      <c r="A173" t="s">
        <v>172</v>
      </c>
      <c r="B173" t="s">
        <v>21</v>
      </c>
      <c r="C173">
        <v>3</v>
      </c>
      <c r="D173">
        <v>115.5</v>
      </c>
      <c r="E173">
        <v>1230.75</v>
      </c>
      <c r="F173">
        <v>42.92</v>
      </c>
      <c r="G173">
        <v>2004</v>
      </c>
      <c r="H173">
        <v>3.19</v>
      </c>
      <c r="I173">
        <v>0</v>
      </c>
      <c r="J173">
        <v>2015</v>
      </c>
      <c r="K173" t="s">
        <v>14</v>
      </c>
      <c r="L173" t="s">
        <v>15</v>
      </c>
      <c r="M173" t="str">
        <f>IF(J173&gt;2010,"Yes","No")</f>
        <v>Yes</v>
      </c>
      <c r="N173">
        <f>F173/D173</f>
        <v>0.3716017316017316</v>
      </c>
      <c r="O173">
        <f>E173/D173</f>
        <v>10.655844155844155</v>
      </c>
    </row>
    <row r="174" spans="1:15" x14ac:dyDescent="0.3">
      <c r="A174" t="s">
        <v>216</v>
      </c>
      <c r="B174" t="s">
        <v>13</v>
      </c>
      <c r="C174">
        <v>2</v>
      </c>
      <c r="D174">
        <v>115.54</v>
      </c>
      <c r="E174">
        <v>1602.11</v>
      </c>
      <c r="F174">
        <v>75.77</v>
      </c>
      <c r="G174">
        <v>4049</v>
      </c>
      <c r="H174">
        <v>4.18</v>
      </c>
      <c r="I174">
        <v>1</v>
      </c>
      <c r="J174">
        <v>2002</v>
      </c>
      <c r="K174" t="s">
        <v>14</v>
      </c>
      <c r="L174" t="s">
        <v>23</v>
      </c>
      <c r="M174" t="str">
        <f>IF(J174&gt;2010,"Yes","No")</f>
        <v>No</v>
      </c>
      <c r="N174">
        <f>F174/D174</f>
        <v>0.65579020252726317</v>
      </c>
      <c r="O174">
        <f>E174/D174</f>
        <v>13.866280076164097</v>
      </c>
    </row>
    <row r="175" spans="1:15" x14ac:dyDescent="0.3">
      <c r="A175" t="s">
        <v>238</v>
      </c>
      <c r="B175" t="s">
        <v>13</v>
      </c>
      <c r="C175">
        <v>5</v>
      </c>
      <c r="D175">
        <v>117.66</v>
      </c>
      <c r="E175">
        <v>865.43</v>
      </c>
      <c r="F175">
        <v>96.78</v>
      </c>
      <c r="G175">
        <v>1593</v>
      </c>
      <c r="H175">
        <v>9.42</v>
      </c>
      <c r="I175">
        <v>1</v>
      </c>
      <c r="J175">
        <v>1996</v>
      </c>
      <c r="K175" t="s">
        <v>14</v>
      </c>
      <c r="L175" t="s">
        <v>26</v>
      </c>
      <c r="M175" t="str">
        <f>IF(J175&gt;2010,"Yes","No")</f>
        <v>No</v>
      </c>
      <c r="N175">
        <f>F175/D175</f>
        <v>0.82253952065272828</v>
      </c>
      <c r="O175">
        <f>E175/D175</f>
        <v>7.3553459119496853</v>
      </c>
    </row>
    <row r="176" spans="1:15" x14ac:dyDescent="0.3">
      <c r="A176" t="s">
        <v>197</v>
      </c>
      <c r="B176" t="s">
        <v>13</v>
      </c>
      <c r="C176">
        <v>5</v>
      </c>
      <c r="D176">
        <v>117.79</v>
      </c>
      <c r="E176">
        <v>794.76</v>
      </c>
      <c r="F176">
        <v>94.67</v>
      </c>
      <c r="G176">
        <v>2240</v>
      </c>
      <c r="H176">
        <v>8.81</v>
      </c>
      <c r="I176">
        <v>0</v>
      </c>
      <c r="J176">
        <v>1992</v>
      </c>
      <c r="K176" t="s">
        <v>32</v>
      </c>
      <c r="L176" t="s">
        <v>15</v>
      </c>
      <c r="M176" t="str">
        <f>IF(J176&gt;2010,"Yes","No")</f>
        <v>No</v>
      </c>
      <c r="N176">
        <f>F176/D176</f>
        <v>0.80371848204431617</v>
      </c>
      <c r="O176">
        <f>E176/D176</f>
        <v>6.7472620765769582</v>
      </c>
    </row>
    <row r="177" spans="1:15" x14ac:dyDescent="0.3">
      <c r="A177" t="s">
        <v>302</v>
      </c>
      <c r="B177" t="s">
        <v>34</v>
      </c>
      <c r="C177">
        <v>1</v>
      </c>
      <c r="D177">
        <v>117.95</v>
      </c>
      <c r="E177">
        <v>1164.93</v>
      </c>
      <c r="F177">
        <v>6.94</v>
      </c>
      <c r="G177">
        <v>1321</v>
      </c>
      <c r="H177">
        <v>3.34</v>
      </c>
      <c r="I177">
        <v>0</v>
      </c>
      <c r="J177">
        <v>2021</v>
      </c>
      <c r="K177" t="s">
        <v>41</v>
      </c>
      <c r="L177" t="s">
        <v>15</v>
      </c>
      <c r="M177" t="str">
        <f>IF(J177&gt;2010,"Yes","No")</f>
        <v>Yes</v>
      </c>
      <c r="N177">
        <f>F177/D177</f>
        <v>5.8838490885968632E-2</v>
      </c>
      <c r="O177">
        <f>E177/D177</f>
        <v>9.8764730818143285</v>
      </c>
    </row>
    <row r="178" spans="1:15" x14ac:dyDescent="0.3">
      <c r="A178" t="s">
        <v>474</v>
      </c>
      <c r="B178" t="s">
        <v>17</v>
      </c>
      <c r="C178">
        <v>1</v>
      </c>
      <c r="D178">
        <v>118.96</v>
      </c>
      <c r="E178">
        <v>725.8</v>
      </c>
      <c r="F178">
        <v>17.27</v>
      </c>
      <c r="G178">
        <v>624</v>
      </c>
      <c r="H178">
        <v>7.34</v>
      </c>
      <c r="I178">
        <v>0</v>
      </c>
      <c r="J178">
        <v>2018</v>
      </c>
      <c r="K178" t="s">
        <v>41</v>
      </c>
      <c r="L178" t="s">
        <v>15</v>
      </c>
      <c r="M178" t="str">
        <f>IF(J178&gt;2010,"Yes","No")</f>
        <v>Yes</v>
      </c>
      <c r="N178">
        <f>F178/D178</f>
        <v>0.14517484868863484</v>
      </c>
      <c r="O178">
        <f>E178/D178</f>
        <v>6.1012104909213178</v>
      </c>
    </row>
    <row r="179" spans="1:15" x14ac:dyDescent="0.3">
      <c r="A179" t="s">
        <v>387</v>
      </c>
      <c r="B179" t="s">
        <v>13</v>
      </c>
      <c r="C179">
        <v>2</v>
      </c>
      <c r="D179">
        <v>118.97</v>
      </c>
      <c r="E179">
        <v>1287.32</v>
      </c>
      <c r="F179">
        <v>78.900000000000006</v>
      </c>
      <c r="G179">
        <v>4068</v>
      </c>
      <c r="H179">
        <v>5.58</v>
      </c>
      <c r="I179">
        <v>1</v>
      </c>
      <c r="J179">
        <v>1994</v>
      </c>
      <c r="K179" t="s">
        <v>14</v>
      </c>
      <c r="L179" t="s">
        <v>15</v>
      </c>
      <c r="M179" t="str">
        <f>IF(J179&gt;2010,"Yes","No")</f>
        <v>No</v>
      </c>
      <c r="N179">
        <f>F179/D179</f>
        <v>0.66319240144574265</v>
      </c>
      <c r="O179">
        <f>E179/D179</f>
        <v>10.820542994032108</v>
      </c>
    </row>
    <row r="180" spans="1:15" x14ac:dyDescent="0.3">
      <c r="A180" t="s">
        <v>90</v>
      </c>
      <c r="B180" t="s">
        <v>13</v>
      </c>
      <c r="C180">
        <v>4</v>
      </c>
      <c r="D180">
        <v>119.3</v>
      </c>
      <c r="E180">
        <v>487.43</v>
      </c>
      <c r="F180">
        <v>70.06</v>
      </c>
      <c r="G180">
        <v>3175</v>
      </c>
      <c r="H180">
        <v>1.04</v>
      </c>
      <c r="I180">
        <v>1</v>
      </c>
      <c r="J180">
        <v>2019</v>
      </c>
      <c r="K180" t="s">
        <v>18</v>
      </c>
      <c r="L180" t="s">
        <v>26</v>
      </c>
      <c r="M180" t="str">
        <f>IF(J180&gt;2010,"Yes","No")</f>
        <v>Yes</v>
      </c>
      <c r="N180">
        <f>F180/D180</f>
        <v>0.58725901089689858</v>
      </c>
      <c r="O180">
        <f>E180/D180</f>
        <v>4.0857502095557416</v>
      </c>
    </row>
    <row r="181" spans="1:15" x14ac:dyDescent="0.3">
      <c r="A181" t="s">
        <v>508</v>
      </c>
      <c r="B181" t="s">
        <v>75</v>
      </c>
      <c r="C181">
        <v>3</v>
      </c>
      <c r="D181">
        <v>119.3</v>
      </c>
      <c r="E181">
        <v>1419.73</v>
      </c>
      <c r="F181">
        <v>2.84</v>
      </c>
      <c r="G181">
        <v>3428</v>
      </c>
      <c r="H181">
        <v>7.32</v>
      </c>
      <c r="I181">
        <v>1</v>
      </c>
      <c r="J181">
        <v>1998</v>
      </c>
      <c r="K181" t="s">
        <v>28</v>
      </c>
      <c r="L181" t="s">
        <v>23</v>
      </c>
      <c r="M181" t="str">
        <f>IF(J181&gt;2010,"Yes","No")</f>
        <v>No</v>
      </c>
      <c r="N181">
        <f>F181/D181</f>
        <v>2.3805532271584242E-2</v>
      </c>
      <c r="O181">
        <f>E181/D181</f>
        <v>11.900502933780386</v>
      </c>
    </row>
    <row r="182" spans="1:15" x14ac:dyDescent="0.3">
      <c r="A182" t="s">
        <v>182</v>
      </c>
      <c r="B182" t="s">
        <v>39</v>
      </c>
      <c r="C182">
        <v>1</v>
      </c>
      <c r="D182">
        <v>119.79</v>
      </c>
      <c r="E182">
        <v>726.85</v>
      </c>
      <c r="F182">
        <v>11.28</v>
      </c>
      <c r="G182">
        <v>2846</v>
      </c>
      <c r="H182">
        <v>8.4499999999999993</v>
      </c>
      <c r="I182">
        <v>1</v>
      </c>
      <c r="J182">
        <v>2010</v>
      </c>
      <c r="K182" t="s">
        <v>14</v>
      </c>
      <c r="L182" t="s">
        <v>23</v>
      </c>
      <c r="M182" t="str">
        <f>IF(J182&gt;2010,"Yes","No")</f>
        <v>No</v>
      </c>
      <c r="N182">
        <f>F182/D182</f>
        <v>9.4164788379664396E-2</v>
      </c>
      <c r="O182">
        <f>E182/D182</f>
        <v>6.067701811503464</v>
      </c>
    </row>
    <row r="183" spans="1:15" x14ac:dyDescent="0.3">
      <c r="A183" t="s">
        <v>503</v>
      </c>
      <c r="B183" t="s">
        <v>34</v>
      </c>
      <c r="C183">
        <v>3</v>
      </c>
      <c r="D183">
        <v>120.01</v>
      </c>
      <c r="E183">
        <v>1623.21</v>
      </c>
      <c r="F183">
        <v>75.959999999999994</v>
      </c>
      <c r="G183">
        <v>524</v>
      </c>
      <c r="H183">
        <v>2.39</v>
      </c>
      <c r="I183">
        <v>0</v>
      </c>
      <c r="J183">
        <v>2015</v>
      </c>
      <c r="K183" t="s">
        <v>28</v>
      </c>
      <c r="L183" t="s">
        <v>15</v>
      </c>
      <c r="M183" t="str">
        <f>IF(J183&gt;2010,"Yes","No")</f>
        <v>Yes</v>
      </c>
      <c r="N183">
        <f>F183/D183</f>
        <v>0.63294725439546695</v>
      </c>
      <c r="O183">
        <f>E183/D183</f>
        <v>13.525622864761269</v>
      </c>
    </row>
    <row r="184" spans="1:15" x14ac:dyDescent="0.3">
      <c r="A184" t="s">
        <v>210</v>
      </c>
      <c r="B184" t="s">
        <v>13</v>
      </c>
      <c r="C184">
        <v>1</v>
      </c>
      <c r="D184">
        <v>120.77</v>
      </c>
      <c r="E184">
        <v>1412.31</v>
      </c>
      <c r="F184">
        <v>9.43</v>
      </c>
      <c r="G184">
        <v>1386</v>
      </c>
      <c r="H184">
        <v>2.5499999999999998</v>
      </c>
      <c r="I184">
        <v>1</v>
      </c>
      <c r="J184">
        <v>2005</v>
      </c>
      <c r="K184" t="s">
        <v>18</v>
      </c>
      <c r="L184" t="s">
        <v>15</v>
      </c>
      <c r="M184" t="str">
        <f>IF(J184&gt;2010,"Yes","No")</f>
        <v>No</v>
      </c>
      <c r="N184">
        <f>F184/D184</f>
        <v>7.8082305208247077E-2</v>
      </c>
      <c r="O184">
        <f>E184/D184</f>
        <v>11.694212138776185</v>
      </c>
    </row>
    <row r="185" spans="1:15" x14ac:dyDescent="0.3">
      <c r="A185" t="s">
        <v>48</v>
      </c>
      <c r="B185" t="s">
        <v>13</v>
      </c>
      <c r="C185">
        <v>1</v>
      </c>
      <c r="D185">
        <v>121.06</v>
      </c>
      <c r="E185">
        <v>1776.82</v>
      </c>
      <c r="F185">
        <v>72.37</v>
      </c>
      <c r="G185">
        <v>2174</v>
      </c>
      <c r="H185">
        <v>9.93</v>
      </c>
      <c r="I185">
        <v>0</v>
      </c>
      <c r="J185">
        <v>1993</v>
      </c>
      <c r="K185" t="s">
        <v>14</v>
      </c>
      <c r="L185" t="s">
        <v>15</v>
      </c>
      <c r="M185" t="str">
        <f>IF(J185&gt;2010,"Yes","No")</f>
        <v>No</v>
      </c>
      <c r="N185">
        <f>F185/D185</f>
        <v>0.59780274244176446</v>
      </c>
      <c r="O185">
        <f>E185/D185</f>
        <v>14.677184867008094</v>
      </c>
    </row>
    <row r="186" spans="1:15" x14ac:dyDescent="0.3">
      <c r="A186" t="s">
        <v>457</v>
      </c>
      <c r="B186" t="s">
        <v>25</v>
      </c>
      <c r="C186">
        <v>1</v>
      </c>
      <c r="D186">
        <v>121.28</v>
      </c>
      <c r="E186">
        <v>427.49</v>
      </c>
      <c r="F186">
        <v>66.3</v>
      </c>
      <c r="G186">
        <v>2474</v>
      </c>
      <c r="H186">
        <v>4.45</v>
      </c>
      <c r="I186">
        <v>0</v>
      </c>
      <c r="J186">
        <v>2015</v>
      </c>
      <c r="K186" t="s">
        <v>18</v>
      </c>
      <c r="L186" t="s">
        <v>15</v>
      </c>
      <c r="M186" t="str">
        <f>IF(J186&gt;2010,"Yes","No")</f>
        <v>Yes</v>
      </c>
      <c r="N186">
        <f>F186/D186</f>
        <v>0.5466688654353562</v>
      </c>
      <c r="O186">
        <f>E186/D186</f>
        <v>3.5248186015831133</v>
      </c>
    </row>
    <row r="187" spans="1:15" x14ac:dyDescent="0.3">
      <c r="A187" t="s">
        <v>74</v>
      </c>
      <c r="B187" t="s">
        <v>75</v>
      </c>
      <c r="C187">
        <v>5</v>
      </c>
      <c r="D187">
        <v>121.61</v>
      </c>
      <c r="E187">
        <v>529.89</v>
      </c>
      <c r="F187">
        <v>73.39</v>
      </c>
      <c r="G187">
        <v>4862</v>
      </c>
      <c r="H187">
        <v>4.07</v>
      </c>
      <c r="I187">
        <v>0</v>
      </c>
      <c r="J187">
        <v>2015</v>
      </c>
      <c r="K187" t="s">
        <v>41</v>
      </c>
      <c r="L187" t="s">
        <v>15</v>
      </c>
      <c r="M187" t="str">
        <f>IF(J187&gt;2010,"Yes","No")</f>
        <v>Yes</v>
      </c>
      <c r="N187">
        <f>F187/D187</f>
        <v>0.60348655538195872</v>
      </c>
      <c r="O187">
        <f>E187/D187</f>
        <v>4.357289696571006</v>
      </c>
    </row>
    <row r="188" spans="1:15" x14ac:dyDescent="0.3">
      <c r="A188" t="s">
        <v>158</v>
      </c>
      <c r="B188" t="s">
        <v>25</v>
      </c>
      <c r="C188">
        <v>2</v>
      </c>
      <c r="D188">
        <v>121.64</v>
      </c>
      <c r="E188">
        <v>1619.39</v>
      </c>
      <c r="F188">
        <v>72.03</v>
      </c>
      <c r="G188">
        <v>1729</v>
      </c>
      <c r="H188">
        <v>1.34</v>
      </c>
      <c r="I188">
        <v>1</v>
      </c>
      <c r="J188">
        <v>2006</v>
      </c>
      <c r="K188" t="s">
        <v>18</v>
      </c>
      <c r="L188" t="s">
        <v>23</v>
      </c>
      <c r="M188" t="str">
        <f>IF(J188&gt;2010,"Yes","No")</f>
        <v>No</v>
      </c>
      <c r="N188">
        <f>F188/D188</f>
        <v>0.59215718513646831</v>
      </c>
      <c r="O188">
        <f>E188/D188</f>
        <v>13.312972706346597</v>
      </c>
    </row>
    <row r="189" spans="1:15" x14ac:dyDescent="0.3">
      <c r="A189" t="s">
        <v>496</v>
      </c>
      <c r="B189" t="s">
        <v>39</v>
      </c>
      <c r="C189">
        <v>1</v>
      </c>
      <c r="D189">
        <v>121.8</v>
      </c>
      <c r="E189">
        <v>1473.56</v>
      </c>
      <c r="F189">
        <v>54.3</v>
      </c>
      <c r="G189">
        <v>3647</v>
      </c>
      <c r="H189">
        <v>7.46</v>
      </c>
      <c r="I189">
        <v>1</v>
      </c>
      <c r="J189">
        <v>1996</v>
      </c>
      <c r="K189" t="s">
        <v>14</v>
      </c>
      <c r="L189" t="s">
        <v>15</v>
      </c>
      <c r="M189" t="str">
        <f>IF(J189&gt;2010,"Yes","No")</f>
        <v>No</v>
      </c>
      <c r="N189">
        <f>F189/D189</f>
        <v>0.44581280788177341</v>
      </c>
      <c r="O189">
        <f>E189/D189</f>
        <v>12.098193760262726</v>
      </c>
    </row>
    <row r="190" spans="1:15" x14ac:dyDescent="0.3">
      <c r="A190" t="s">
        <v>61</v>
      </c>
      <c r="B190" t="s">
        <v>30</v>
      </c>
      <c r="C190">
        <v>2</v>
      </c>
      <c r="D190">
        <v>121.87</v>
      </c>
      <c r="E190">
        <v>1434.4</v>
      </c>
      <c r="F190">
        <v>74.62</v>
      </c>
      <c r="G190">
        <v>4168</v>
      </c>
      <c r="H190">
        <v>1.57</v>
      </c>
      <c r="I190">
        <v>1</v>
      </c>
      <c r="J190">
        <v>2006</v>
      </c>
      <c r="K190" t="s">
        <v>28</v>
      </c>
      <c r="L190" t="s">
        <v>15</v>
      </c>
      <c r="M190" t="str">
        <f>IF(J190&gt;2010,"Yes","No")</f>
        <v>No</v>
      </c>
      <c r="N190">
        <f>F190/D190</f>
        <v>0.61229178632969561</v>
      </c>
      <c r="O190">
        <f>E190/D190</f>
        <v>11.769918765898089</v>
      </c>
    </row>
    <row r="191" spans="1:15" x14ac:dyDescent="0.3">
      <c r="A191" t="s">
        <v>487</v>
      </c>
      <c r="B191" t="s">
        <v>13</v>
      </c>
      <c r="C191">
        <v>2</v>
      </c>
      <c r="D191">
        <v>121.89</v>
      </c>
      <c r="E191">
        <v>1430.42</v>
      </c>
      <c r="F191">
        <v>80.819999999999993</v>
      </c>
      <c r="G191">
        <v>2498</v>
      </c>
      <c r="H191">
        <v>0.23</v>
      </c>
      <c r="I191">
        <v>1</v>
      </c>
      <c r="J191">
        <v>2014</v>
      </c>
      <c r="K191" t="s">
        <v>41</v>
      </c>
      <c r="L191" t="s">
        <v>15</v>
      </c>
      <c r="M191" t="str">
        <f>IF(J191&gt;2010,"Yes","No")</f>
        <v>Yes</v>
      </c>
      <c r="N191">
        <f>F191/D191</f>
        <v>0.66305685454097951</v>
      </c>
      <c r="O191">
        <f>E191/D191</f>
        <v>11.735335138239396</v>
      </c>
    </row>
    <row r="192" spans="1:15" x14ac:dyDescent="0.3">
      <c r="A192" t="s">
        <v>105</v>
      </c>
      <c r="B192" t="s">
        <v>39</v>
      </c>
      <c r="C192">
        <v>5</v>
      </c>
      <c r="D192">
        <v>124.13</v>
      </c>
      <c r="E192">
        <v>1311.12</v>
      </c>
      <c r="F192">
        <v>63.15</v>
      </c>
      <c r="G192">
        <v>2051</v>
      </c>
      <c r="H192">
        <v>5.95</v>
      </c>
      <c r="I192">
        <v>1</v>
      </c>
      <c r="J192">
        <v>2004</v>
      </c>
      <c r="K192" t="s">
        <v>28</v>
      </c>
      <c r="L192" t="s">
        <v>26</v>
      </c>
      <c r="M192" t="str">
        <f>IF(J192&gt;2010,"Yes","No")</f>
        <v>No</v>
      </c>
      <c r="N192">
        <f>F192/D192</f>
        <v>0.50874083622009181</v>
      </c>
      <c r="O192">
        <f>E192/D192</f>
        <v>10.562474824780471</v>
      </c>
    </row>
    <row r="193" spans="1:15" x14ac:dyDescent="0.3">
      <c r="A193" t="s">
        <v>492</v>
      </c>
      <c r="B193" t="s">
        <v>13</v>
      </c>
      <c r="C193">
        <v>4</v>
      </c>
      <c r="D193">
        <v>124.2</v>
      </c>
      <c r="E193">
        <v>1100.5</v>
      </c>
      <c r="F193">
        <v>38.799999999999997</v>
      </c>
      <c r="G193">
        <v>1288</v>
      </c>
      <c r="H193">
        <v>2.16</v>
      </c>
      <c r="I193">
        <v>0</v>
      </c>
      <c r="J193">
        <v>2006</v>
      </c>
      <c r="K193" t="s">
        <v>18</v>
      </c>
      <c r="L193" t="s">
        <v>15</v>
      </c>
      <c r="M193" t="str">
        <f>IF(J193&gt;2010,"Yes","No")</f>
        <v>No</v>
      </c>
      <c r="N193">
        <f>F193/D193</f>
        <v>0.31239935587761669</v>
      </c>
      <c r="O193">
        <f>E193/D193</f>
        <v>8.8607085346215779</v>
      </c>
    </row>
    <row r="194" spans="1:15" x14ac:dyDescent="0.3">
      <c r="A194" t="s">
        <v>464</v>
      </c>
      <c r="B194" t="s">
        <v>39</v>
      </c>
      <c r="C194">
        <v>5</v>
      </c>
      <c r="D194">
        <v>125.06</v>
      </c>
      <c r="E194">
        <v>620.82000000000005</v>
      </c>
      <c r="F194">
        <v>75.010000000000005</v>
      </c>
      <c r="G194">
        <v>2650</v>
      </c>
      <c r="H194">
        <v>9.52</v>
      </c>
      <c r="I194">
        <v>0</v>
      </c>
      <c r="J194">
        <v>2000</v>
      </c>
      <c r="K194" t="s">
        <v>14</v>
      </c>
      <c r="L194" t="s">
        <v>15</v>
      </c>
      <c r="M194" t="str">
        <f>IF(J194&gt;2010,"Yes","No")</f>
        <v>No</v>
      </c>
      <c r="N194">
        <f>F194/D194</f>
        <v>0.5997920997920998</v>
      </c>
      <c r="O194">
        <f>E194/D194</f>
        <v>4.9641771949464264</v>
      </c>
    </row>
    <row r="195" spans="1:15" x14ac:dyDescent="0.3">
      <c r="A195" t="s">
        <v>167</v>
      </c>
      <c r="B195" t="s">
        <v>21</v>
      </c>
      <c r="C195">
        <v>2</v>
      </c>
      <c r="D195">
        <v>125.54</v>
      </c>
      <c r="E195">
        <v>1605.53</v>
      </c>
      <c r="F195">
        <v>79.19</v>
      </c>
      <c r="G195">
        <v>3642</v>
      </c>
      <c r="H195">
        <v>1.28</v>
      </c>
      <c r="I195">
        <v>0</v>
      </c>
      <c r="J195">
        <v>1995</v>
      </c>
      <c r="K195" t="s">
        <v>18</v>
      </c>
      <c r="L195" t="s">
        <v>23</v>
      </c>
      <c r="M195" t="str">
        <f>IF(J195&gt;2010,"Yes","No")</f>
        <v>No</v>
      </c>
      <c r="N195">
        <f>F195/D195</f>
        <v>0.63079496574796867</v>
      </c>
      <c r="O195">
        <f>E195/D195</f>
        <v>12.788991556476022</v>
      </c>
    </row>
    <row r="196" spans="1:15" x14ac:dyDescent="0.3">
      <c r="A196" t="s">
        <v>459</v>
      </c>
      <c r="B196" t="s">
        <v>75</v>
      </c>
      <c r="C196">
        <v>4</v>
      </c>
      <c r="D196">
        <v>125.81</v>
      </c>
      <c r="E196">
        <v>1281.05</v>
      </c>
      <c r="F196">
        <v>59.67</v>
      </c>
      <c r="G196">
        <v>3814</v>
      </c>
      <c r="H196">
        <v>5.17</v>
      </c>
      <c r="I196">
        <v>1</v>
      </c>
      <c r="J196">
        <v>2013</v>
      </c>
      <c r="K196" t="s">
        <v>41</v>
      </c>
      <c r="L196" t="s">
        <v>15</v>
      </c>
      <c r="M196" t="str">
        <f>IF(J196&gt;2010,"Yes","No")</f>
        <v>Yes</v>
      </c>
      <c r="N196">
        <f>F196/D196</f>
        <v>0.47428662268500121</v>
      </c>
      <c r="O196">
        <f>E196/D196</f>
        <v>10.182417931801924</v>
      </c>
    </row>
    <row r="197" spans="1:15" x14ac:dyDescent="0.3">
      <c r="A197" t="s">
        <v>51</v>
      </c>
      <c r="B197" t="s">
        <v>34</v>
      </c>
      <c r="C197">
        <v>1</v>
      </c>
      <c r="D197">
        <v>126.8</v>
      </c>
      <c r="E197">
        <v>1174.26</v>
      </c>
      <c r="F197">
        <v>70.319999999999993</v>
      </c>
      <c r="G197">
        <v>3163</v>
      </c>
      <c r="H197">
        <v>4.21</v>
      </c>
      <c r="I197">
        <v>0</v>
      </c>
      <c r="J197">
        <v>2003</v>
      </c>
      <c r="K197" t="s">
        <v>41</v>
      </c>
      <c r="L197" t="s">
        <v>23</v>
      </c>
      <c r="M197" t="str">
        <f>IF(J197&gt;2010,"Yes","No")</f>
        <v>No</v>
      </c>
      <c r="N197">
        <f>F197/D197</f>
        <v>0.55457413249211351</v>
      </c>
      <c r="O197">
        <f>E197/D197</f>
        <v>9.2607255520504737</v>
      </c>
    </row>
    <row r="198" spans="1:15" x14ac:dyDescent="0.3">
      <c r="A198" t="s">
        <v>144</v>
      </c>
      <c r="B198" t="s">
        <v>25</v>
      </c>
      <c r="C198">
        <v>4</v>
      </c>
      <c r="D198">
        <v>126.82</v>
      </c>
      <c r="E198">
        <v>633.59</v>
      </c>
      <c r="F198">
        <v>82.8</v>
      </c>
      <c r="G198">
        <v>2824</v>
      </c>
      <c r="H198">
        <v>9.5</v>
      </c>
      <c r="I198">
        <v>1</v>
      </c>
      <c r="J198">
        <v>2017</v>
      </c>
      <c r="K198" t="s">
        <v>32</v>
      </c>
      <c r="L198" t="s">
        <v>23</v>
      </c>
      <c r="M198" t="str">
        <f>IF(J198&gt;2010,"Yes","No")</f>
        <v>Yes</v>
      </c>
      <c r="N198">
        <f>F198/D198</f>
        <v>0.6528938653209273</v>
      </c>
      <c r="O198">
        <f>E198/D198</f>
        <v>4.9959785522788209</v>
      </c>
    </row>
    <row r="199" spans="1:15" x14ac:dyDescent="0.3">
      <c r="A199" t="s">
        <v>77</v>
      </c>
      <c r="B199" t="s">
        <v>13</v>
      </c>
      <c r="C199">
        <v>2</v>
      </c>
      <c r="D199">
        <v>126.9</v>
      </c>
      <c r="E199">
        <v>1779.66</v>
      </c>
      <c r="F199">
        <v>17.43</v>
      </c>
      <c r="G199">
        <v>2994</v>
      </c>
      <c r="H199">
        <v>8.25</v>
      </c>
      <c r="I199">
        <v>1</v>
      </c>
      <c r="J199">
        <v>2021</v>
      </c>
      <c r="K199" t="s">
        <v>41</v>
      </c>
      <c r="L199" t="s">
        <v>15</v>
      </c>
      <c r="M199" t="str">
        <f>IF(J199&gt;2010,"Yes","No")</f>
        <v>Yes</v>
      </c>
      <c r="N199">
        <f>F199/D199</f>
        <v>0.13735224586288416</v>
      </c>
      <c r="O199">
        <f>E199/D199</f>
        <v>14.024113475177305</v>
      </c>
    </row>
    <row r="200" spans="1:15" x14ac:dyDescent="0.3">
      <c r="A200" t="s">
        <v>165</v>
      </c>
      <c r="B200" t="s">
        <v>13</v>
      </c>
      <c r="C200">
        <v>1</v>
      </c>
      <c r="D200">
        <v>128.33000000000001</v>
      </c>
      <c r="E200">
        <v>1038.75</v>
      </c>
      <c r="F200">
        <v>40.46</v>
      </c>
      <c r="G200">
        <v>4783</v>
      </c>
      <c r="H200">
        <v>6.68</v>
      </c>
      <c r="I200">
        <v>1</v>
      </c>
      <c r="J200">
        <v>2015</v>
      </c>
      <c r="K200" t="s">
        <v>41</v>
      </c>
      <c r="L200" t="s">
        <v>15</v>
      </c>
      <c r="M200" t="str">
        <f>IF(J200&gt;2010,"Yes","No")</f>
        <v>Yes</v>
      </c>
      <c r="N200">
        <f>F200/D200</f>
        <v>0.3152809163874386</v>
      </c>
      <c r="O200">
        <f>E200/D200</f>
        <v>8.0943660874308421</v>
      </c>
    </row>
    <row r="201" spans="1:15" x14ac:dyDescent="0.3">
      <c r="A201" t="s">
        <v>300</v>
      </c>
      <c r="B201" t="s">
        <v>25</v>
      </c>
      <c r="C201">
        <v>5</v>
      </c>
      <c r="D201">
        <v>129.96</v>
      </c>
      <c r="E201">
        <v>738.61</v>
      </c>
      <c r="F201">
        <v>21.63</v>
      </c>
      <c r="G201">
        <v>1634</v>
      </c>
      <c r="H201">
        <v>5.03</v>
      </c>
      <c r="I201">
        <v>1</v>
      </c>
      <c r="J201">
        <v>2016</v>
      </c>
      <c r="K201" t="s">
        <v>14</v>
      </c>
      <c r="L201" t="s">
        <v>15</v>
      </c>
      <c r="M201" t="str">
        <f>IF(J201&gt;2010,"Yes","No")</f>
        <v>Yes</v>
      </c>
      <c r="N201">
        <f>F201/D201</f>
        <v>0.16643582640812557</v>
      </c>
      <c r="O201">
        <f>E201/D201</f>
        <v>5.6833641120344716</v>
      </c>
    </row>
    <row r="202" spans="1:15" x14ac:dyDescent="0.3">
      <c r="A202" t="s">
        <v>382</v>
      </c>
      <c r="B202" t="s">
        <v>13</v>
      </c>
      <c r="C202">
        <v>3</v>
      </c>
      <c r="D202">
        <v>130.26</v>
      </c>
      <c r="E202">
        <v>806.6</v>
      </c>
      <c r="F202">
        <v>34.15</v>
      </c>
      <c r="G202">
        <v>3769</v>
      </c>
      <c r="H202">
        <v>4.5199999999999996</v>
      </c>
      <c r="I202">
        <v>0</v>
      </c>
      <c r="J202">
        <v>1995</v>
      </c>
      <c r="K202" t="s">
        <v>32</v>
      </c>
      <c r="L202" t="s">
        <v>15</v>
      </c>
      <c r="M202" t="str">
        <f>IF(J202&gt;2010,"Yes","No")</f>
        <v>No</v>
      </c>
      <c r="N202">
        <f>F202/D202</f>
        <v>0.26216797174881007</v>
      </c>
      <c r="O202">
        <f>E202/D202</f>
        <v>6.1922309227698458</v>
      </c>
    </row>
    <row r="203" spans="1:15" x14ac:dyDescent="0.3">
      <c r="A203" t="s">
        <v>448</v>
      </c>
      <c r="B203" t="s">
        <v>17</v>
      </c>
      <c r="C203">
        <v>5</v>
      </c>
      <c r="D203">
        <v>130.38</v>
      </c>
      <c r="E203">
        <v>895.27</v>
      </c>
      <c r="F203">
        <v>86.3</v>
      </c>
      <c r="G203">
        <v>163</v>
      </c>
      <c r="H203">
        <v>2.12</v>
      </c>
      <c r="I203">
        <v>1</v>
      </c>
      <c r="J203">
        <v>1995</v>
      </c>
      <c r="K203" t="s">
        <v>28</v>
      </c>
      <c r="L203" t="s">
        <v>23</v>
      </c>
      <c r="M203" t="str">
        <f>IF(J203&gt;2010,"Yes","No")</f>
        <v>No</v>
      </c>
      <c r="N203">
        <f>F203/D203</f>
        <v>0.66191133609449304</v>
      </c>
      <c r="O203">
        <f>E203/D203</f>
        <v>6.8666206473385492</v>
      </c>
    </row>
    <row r="204" spans="1:15" x14ac:dyDescent="0.3">
      <c r="A204" t="s">
        <v>494</v>
      </c>
      <c r="B204" t="s">
        <v>17</v>
      </c>
      <c r="C204">
        <v>5</v>
      </c>
      <c r="D204">
        <v>131.43</v>
      </c>
      <c r="E204">
        <v>934.28</v>
      </c>
      <c r="F204">
        <v>40.450000000000003</v>
      </c>
      <c r="G204">
        <v>887</v>
      </c>
      <c r="H204">
        <v>4.84</v>
      </c>
      <c r="I204">
        <v>1</v>
      </c>
      <c r="J204">
        <v>1999</v>
      </c>
      <c r="K204" t="s">
        <v>28</v>
      </c>
      <c r="L204" t="s">
        <v>15</v>
      </c>
      <c r="M204" t="str">
        <f>IF(J204&gt;2010,"Yes","No")</f>
        <v>No</v>
      </c>
      <c r="N204">
        <f>F204/D204</f>
        <v>0.30776839382180626</v>
      </c>
      <c r="O204">
        <f>E204/D204</f>
        <v>7.108574906794491</v>
      </c>
    </row>
    <row r="205" spans="1:15" x14ac:dyDescent="0.3">
      <c r="A205" t="s">
        <v>85</v>
      </c>
      <c r="B205" t="s">
        <v>39</v>
      </c>
      <c r="C205">
        <v>5</v>
      </c>
      <c r="D205">
        <v>131.44</v>
      </c>
      <c r="E205">
        <v>1348.5</v>
      </c>
      <c r="F205">
        <v>95.04</v>
      </c>
      <c r="G205">
        <v>3461</v>
      </c>
      <c r="H205">
        <v>6.4</v>
      </c>
      <c r="I205">
        <v>0</v>
      </c>
      <c r="J205">
        <v>1998</v>
      </c>
      <c r="K205" t="s">
        <v>14</v>
      </c>
      <c r="L205" t="s">
        <v>15</v>
      </c>
      <c r="M205" t="str">
        <f>IF(J205&gt;2010,"Yes","No")</f>
        <v>No</v>
      </c>
      <c r="N205">
        <f>F205/D205</f>
        <v>0.72306755934266587</v>
      </c>
      <c r="O205">
        <f>E205/D205</f>
        <v>10.259433962264151</v>
      </c>
    </row>
    <row r="206" spans="1:15" x14ac:dyDescent="0.3">
      <c r="A206" t="s">
        <v>438</v>
      </c>
      <c r="B206" t="s">
        <v>30</v>
      </c>
      <c r="C206">
        <v>3</v>
      </c>
      <c r="D206">
        <v>131.86000000000001</v>
      </c>
      <c r="E206">
        <v>756.1</v>
      </c>
      <c r="F206">
        <v>39.049999999999997</v>
      </c>
      <c r="G206">
        <v>3436</v>
      </c>
      <c r="H206">
        <v>3.42</v>
      </c>
      <c r="I206">
        <v>0</v>
      </c>
      <c r="J206">
        <v>2008</v>
      </c>
      <c r="K206" t="s">
        <v>41</v>
      </c>
      <c r="L206" t="s">
        <v>26</v>
      </c>
      <c r="M206" t="str">
        <f>IF(J206&gt;2010,"Yes","No")</f>
        <v>No</v>
      </c>
      <c r="N206">
        <f>F206/D206</f>
        <v>0.29614742909146058</v>
      </c>
      <c r="O206">
        <f>E206/D206</f>
        <v>5.7341119369027753</v>
      </c>
    </row>
    <row r="207" spans="1:15" x14ac:dyDescent="0.3">
      <c r="A207" t="s">
        <v>157</v>
      </c>
      <c r="B207" t="s">
        <v>13</v>
      </c>
      <c r="C207">
        <v>5</v>
      </c>
      <c r="D207">
        <v>132.59</v>
      </c>
      <c r="E207">
        <v>593.83000000000004</v>
      </c>
      <c r="F207">
        <v>2.2999999999999998</v>
      </c>
      <c r="G207">
        <v>947</v>
      </c>
      <c r="H207">
        <v>1.31</v>
      </c>
      <c r="I207">
        <v>1</v>
      </c>
      <c r="J207">
        <v>1996</v>
      </c>
      <c r="K207" t="s">
        <v>41</v>
      </c>
      <c r="L207" t="s">
        <v>15</v>
      </c>
      <c r="M207" t="str">
        <f>IF(J207&gt;2010,"Yes","No")</f>
        <v>No</v>
      </c>
      <c r="N207">
        <f>F207/D207</f>
        <v>1.7346707896523116E-2</v>
      </c>
      <c r="O207">
        <f>E207/D207</f>
        <v>4.4786937174749228</v>
      </c>
    </row>
    <row r="208" spans="1:15" x14ac:dyDescent="0.3">
      <c r="A208" t="s">
        <v>512</v>
      </c>
      <c r="B208" t="s">
        <v>21</v>
      </c>
      <c r="C208">
        <v>5</v>
      </c>
      <c r="D208">
        <v>132.88999999999999</v>
      </c>
      <c r="E208">
        <v>1801.7</v>
      </c>
      <c r="F208">
        <v>16.649999999999999</v>
      </c>
      <c r="G208">
        <v>3672</v>
      </c>
      <c r="H208">
        <v>3.76</v>
      </c>
      <c r="I208">
        <v>0</v>
      </c>
      <c r="J208">
        <v>2016</v>
      </c>
      <c r="K208" t="s">
        <v>28</v>
      </c>
      <c r="L208" t="s">
        <v>15</v>
      </c>
      <c r="M208" t="str">
        <f>IF(J208&gt;2010,"Yes","No")</f>
        <v>Yes</v>
      </c>
      <c r="N208">
        <f>F208/D208</f>
        <v>0.12529159455188502</v>
      </c>
      <c r="O208">
        <f>E208/D208</f>
        <v>13.557829784031908</v>
      </c>
    </row>
    <row r="209" spans="1:15" x14ac:dyDescent="0.3">
      <c r="A209" t="s">
        <v>348</v>
      </c>
      <c r="B209" t="s">
        <v>13</v>
      </c>
      <c r="C209">
        <v>1</v>
      </c>
      <c r="D209">
        <v>132.97</v>
      </c>
      <c r="E209">
        <v>764.14</v>
      </c>
      <c r="F209">
        <v>7.52</v>
      </c>
      <c r="G209">
        <v>3662</v>
      </c>
      <c r="H209">
        <v>9.16</v>
      </c>
      <c r="I209">
        <v>1</v>
      </c>
      <c r="J209">
        <v>2005</v>
      </c>
      <c r="K209" t="s">
        <v>18</v>
      </c>
      <c r="L209" t="s">
        <v>15</v>
      </c>
      <c r="M209" t="str">
        <f>IF(J209&gt;2010,"Yes","No")</f>
        <v>No</v>
      </c>
      <c r="N209">
        <f>F209/D209</f>
        <v>5.6554109949612692E-2</v>
      </c>
      <c r="O209">
        <f>E209/D209</f>
        <v>5.7467097841618413</v>
      </c>
    </row>
    <row r="210" spans="1:15" x14ac:dyDescent="0.3">
      <c r="A210" t="s">
        <v>318</v>
      </c>
      <c r="B210" t="s">
        <v>39</v>
      </c>
      <c r="C210">
        <v>3</v>
      </c>
      <c r="D210">
        <v>134.06</v>
      </c>
      <c r="E210">
        <v>776.29</v>
      </c>
      <c r="F210">
        <v>38.22</v>
      </c>
      <c r="G210">
        <v>4749</v>
      </c>
      <c r="H210">
        <v>0.6</v>
      </c>
      <c r="I210">
        <v>0</v>
      </c>
      <c r="J210">
        <v>1991</v>
      </c>
      <c r="K210" t="s">
        <v>28</v>
      </c>
      <c r="L210" t="s">
        <v>15</v>
      </c>
      <c r="M210" t="str">
        <f>IF(J210&gt;2010,"Yes","No")</f>
        <v>No</v>
      </c>
      <c r="N210">
        <f>F210/D210</f>
        <v>0.28509622557064002</v>
      </c>
      <c r="O210">
        <f>E210/D210</f>
        <v>5.7906161420259581</v>
      </c>
    </row>
    <row r="211" spans="1:15" x14ac:dyDescent="0.3">
      <c r="A211" t="s">
        <v>514</v>
      </c>
      <c r="B211" t="s">
        <v>75</v>
      </c>
      <c r="C211">
        <v>2</v>
      </c>
      <c r="D211">
        <v>134.91</v>
      </c>
      <c r="E211">
        <v>908.1</v>
      </c>
      <c r="F211">
        <v>4.57</v>
      </c>
      <c r="G211">
        <v>2806</v>
      </c>
      <c r="H211">
        <v>3.56</v>
      </c>
      <c r="I211">
        <v>0</v>
      </c>
      <c r="J211">
        <v>2003</v>
      </c>
      <c r="K211" t="s">
        <v>28</v>
      </c>
      <c r="L211" t="s">
        <v>15</v>
      </c>
      <c r="M211" t="str">
        <f>IF(J211&gt;2010,"Yes","No")</f>
        <v>No</v>
      </c>
      <c r="N211">
        <f>F211/D211</f>
        <v>3.387443480839078E-2</v>
      </c>
      <c r="O211">
        <f>E211/D211</f>
        <v>6.7311541027351574</v>
      </c>
    </row>
    <row r="212" spans="1:15" x14ac:dyDescent="0.3">
      <c r="A212" t="s">
        <v>517</v>
      </c>
      <c r="B212" t="s">
        <v>21</v>
      </c>
      <c r="C212">
        <v>3</v>
      </c>
      <c r="D212">
        <v>135.11000000000001</v>
      </c>
      <c r="E212">
        <v>1402.41</v>
      </c>
      <c r="F212">
        <v>34.04</v>
      </c>
      <c r="G212">
        <v>4237</v>
      </c>
      <c r="H212">
        <v>8.33</v>
      </c>
      <c r="I212">
        <v>0</v>
      </c>
      <c r="J212">
        <v>2018</v>
      </c>
      <c r="K212" t="s">
        <v>14</v>
      </c>
      <c r="L212" t="s">
        <v>15</v>
      </c>
      <c r="M212" t="str">
        <f>IF(J212&gt;2010,"Yes","No")</f>
        <v>Yes</v>
      </c>
      <c r="N212">
        <f>F212/D212</f>
        <v>0.25194286137221522</v>
      </c>
      <c r="O212">
        <f>E212/D212</f>
        <v>10.379764636222337</v>
      </c>
    </row>
    <row r="213" spans="1:15" x14ac:dyDescent="0.3">
      <c r="A213" t="s">
        <v>363</v>
      </c>
      <c r="B213" t="s">
        <v>75</v>
      </c>
      <c r="C213">
        <v>5</v>
      </c>
      <c r="D213">
        <v>136.38</v>
      </c>
      <c r="E213">
        <v>1986.49</v>
      </c>
      <c r="F213">
        <v>26.85</v>
      </c>
      <c r="G213">
        <v>3258</v>
      </c>
      <c r="H213">
        <v>6.03</v>
      </c>
      <c r="I213">
        <v>1</v>
      </c>
      <c r="J213">
        <v>2004</v>
      </c>
      <c r="K213" t="s">
        <v>18</v>
      </c>
      <c r="L213" t="s">
        <v>23</v>
      </c>
      <c r="M213" t="str">
        <f>IF(J213&gt;2010,"Yes","No")</f>
        <v>No</v>
      </c>
      <c r="N213">
        <f>F213/D213</f>
        <v>0.19687637483501982</v>
      </c>
      <c r="O213">
        <f>E213/D213</f>
        <v>14.565845431881508</v>
      </c>
    </row>
    <row r="214" spans="1:15" x14ac:dyDescent="0.3">
      <c r="A214" t="s">
        <v>148</v>
      </c>
      <c r="B214" t="s">
        <v>75</v>
      </c>
      <c r="C214">
        <v>3</v>
      </c>
      <c r="D214">
        <v>136.82</v>
      </c>
      <c r="E214">
        <v>1936.72</v>
      </c>
      <c r="F214">
        <v>97.96</v>
      </c>
      <c r="G214">
        <v>3124</v>
      </c>
      <c r="H214">
        <v>7.83</v>
      </c>
      <c r="I214">
        <v>1</v>
      </c>
      <c r="J214">
        <v>2019</v>
      </c>
      <c r="K214" t="s">
        <v>32</v>
      </c>
      <c r="L214" t="s">
        <v>15</v>
      </c>
      <c r="M214" t="str">
        <f>IF(J214&gt;2010,"Yes","No")</f>
        <v>Yes</v>
      </c>
      <c r="N214">
        <f>F214/D214</f>
        <v>0.71597719631632806</v>
      </c>
      <c r="O214">
        <f>E214/D214</f>
        <v>14.155240461920773</v>
      </c>
    </row>
    <row r="215" spans="1:15" x14ac:dyDescent="0.3">
      <c r="A215" t="s">
        <v>237</v>
      </c>
      <c r="B215" t="s">
        <v>21</v>
      </c>
      <c r="C215">
        <v>1</v>
      </c>
      <c r="D215">
        <v>137.5</v>
      </c>
      <c r="E215">
        <v>1036.99</v>
      </c>
      <c r="F215">
        <v>79.88</v>
      </c>
      <c r="G215">
        <v>2785</v>
      </c>
      <c r="H215">
        <v>3.32</v>
      </c>
      <c r="I215">
        <v>0</v>
      </c>
      <c r="J215">
        <v>2020</v>
      </c>
      <c r="K215" t="s">
        <v>41</v>
      </c>
      <c r="L215" t="s">
        <v>15</v>
      </c>
      <c r="M215" t="str">
        <f>IF(J215&gt;2010,"Yes","No")</f>
        <v>Yes</v>
      </c>
      <c r="N215">
        <f>F215/D215</f>
        <v>0.58094545454545454</v>
      </c>
      <c r="O215">
        <f>E215/D215</f>
        <v>7.5417454545454543</v>
      </c>
    </row>
    <row r="216" spans="1:15" x14ac:dyDescent="0.3">
      <c r="A216" t="s">
        <v>108</v>
      </c>
      <c r="B216" t="s">
        <v>39</v>
      </c>
      <c r="C216">
        <v>3</v>
      </c>
      <c r="D216">
        <v>138.16999999999999</v>
      </c>
      <c r="E216">
        <v>1045.26</v>
      </c>
      <c r="F216">
        <v>90.95</v>
      </c>
      <c r="G216">
        <v>271</v>
      </c>
      <c r="H216">
        <v>7.26</v>
      </c>
      <c r="I216">
        <v>1</v>
      </c>
      <c r="J216">
        <v>1999</v>
      </c>
      <c r="K216" t="s">
        <v>41</v>
      </c>
      <c r="L216" t="s">
        <v>15</v>
      </c>
      <c r="M216" t="str">
        <f>IF(J216&gt;2010,"Yes","No")</f>
        <v>No</v>
      </c>
      <c r="N216">
        <f>F216/D216</f>
        <v>0.65824708692190792</v>
      </c>
      <c r="O216">
        <f>E216/D216</f>
        <v>7.5650285879713399</v>
      </c>
    </row>
    <row r="217" spans="1:15" x14ac:dyDescent="0.3">
      <c r="A217" t="s">
        <v>168</v>
      </c>
      <c r="B217" t="s">
        <v>39</v>
      </c>
      <c r="C217">
        <v>2</v>
      </c>
      <c r="D217">
        <v>138.85</v>
      </c>
      <c r="E217">
        <v>1038.8900000000001</v>
      </c>
      <c r="F217">
        <v>54.93</v>
      </c>
      <c r="G217">
        <v>2958</v>
      </c>
      <c r="H217">
        <v>7.67</v>
      </c>
      <c r="I217">
        <v>0</v>
      </c>
      <c r="J217">
        <v>2001</v>
      </c>
      <c r="K217" t="s">
        <v>18</v>
      </c>
      <c r="L217" t="s">
        <v>15</v>
      </c>
      <c r="M217" t="str">
        <f>IF(J217&gt;2010,"Yes","No")</f>
        <v>No</v>
      </c>
      <c r="N217">
        <f>F217/D217</f>
        <v>0.39560676989557075</v>
      </c>
      <c r="O217">
        <f>E217/D217</f>
        <v>7.4821029888368757</v>
      </c>
    </row>
    <row r="218" spans="1:15" x14ac:dyDescent="0.3">
      <c r="A218" t="s">
        <v>371</v>
      </c>
      <c r="B218" t="s">
        <v>13</v>
      </c>
      <c r="C218">
        <v>2</v>
      </c>
      <c r="D218">
        <v>138.9</v>
      </c>
      <c r="E218">
        <v>1448.36</v>
      </c>
      <c r="F218">
        <v>52.57</v>
      </c>
      <c r="G218">
        <v>3909</v>
      </c>
      <c r="H218">
        <v>7.16</v>
      </c>
      <c r="I218">
        <v>1</v>
      </c>
      <c r="J218">
        <v>2020</v>
      </c>
      <c r="K218" t="s">
        <v>14</v>
      </c>
      <c r="L218" t="s">
        <v>15</v>
      </c>
      <c r="M218" t="str">
        <f>IF(J218&gt;2010,"Yes","No")</f>
        <v>Yes</v>
      </c>
      <c r="N218">
        <f>F218/D218</f>
        <v>0.37847372210223179</v>
      </c>
      <c r="O218">
        <f>E218/D218</f>
        <v>10.427357811375089</v>
      </c>
    </row>
    <row r="219" spans="1:15" x14ac:dyDescent="0.3">
      <c r="A219" t="s">
        <v>231</v>
      </c>
      <c r="B219" t="s">
        <v>21</v>
      </c>
      <c r="C219">
        <v>2</v>
      </c>
      <c r="D219">
        <v>139.28</v>
      </c>
      <c r="E219">
        <v>1408.64</v>
      </c>
      <c r="F219">
        <v>59.85</v>
      </c>
      <c r="G219">
        <v>1243</v>
      </c>
      <c r="H219">
        <v>7.36</v>
      </c>
      <c r="I219">
        <v>0</v>
      </c>
      <c r="J219">
        <v>2000</v>
      </c>
      <c r="K219" t="s">
        <v>32</v>
      </c>
      <c r="L219" t="s">
        <v>15</v>
      </c>
      <c r="M219" t="str">
        <f>IF(J219&gt;2010,"Yes","No")</f>
        <v>No</v>
      </c>
      <c r="N219">
        <f>F219/D219</f>
        <v>0.42970993681792075</v>
      </c>
      <c r="O219">
        <f>E219/D219</f>
        <v>10.113727742676623</v>
      </c>
    </row>
    <row r="220" spans="1:15" x14ac:dyDescent="0.3">
      <c r="A220" t="s">
        <v>385</v>
      </c>
      <c r="B220" t="s">
        <v>30</v>
      </c>
      <c r="C220">
        <v>3</v>
      </c>
      <c r="D220">
        <v>139.65</v>
      </c>
      <c r="E220">
        <v>1867.95</v>
      </c>
      <c r="F220">
        <v>94.82</v>
      </c>
      <c r="G220">
        <v>1702</v>
      </c>
      <c r="H220">
        <v>9.25</v>
      </c>
      <c r="I220">
        <v>0</v>
      </c>
      <c r="J220">
        <v>2011</v>
      </c>
      <c r="K220" t="s">
        <v>32</v>
      </c>
      <c r="L220" t="s">
        <v>15</v>
      </c>
      <c r="M220" t="str">
        <f>IF(J220&gt;2010,"Yes","No")</f>
        <v>Yes</v>
      </c>
      <c r="N220">
        <f>F220/D220</f>
        <v>0.67898317221625482</v>
      </c>
      <c r="O220">
        <f>E220/D220</f>
        <v>13.375939849624061</v>
      </c>
    </row>
    <row r="221" spans="1:15" x14ac:dyDescent="0.3">
      <c r="A221" t="s">
        <v>279</v>
      </c>
      <c r="B221" t="s">
        <v>17</v>
      </c>
      <c r="C221">
        <v>2</v>
      </c>
      <c r="D221">
        <v>139.91</v>
      </c>
      <c r="E221">
        <v>889.33</v>
      </c>
      <c r="F221">
        <v>19.21</v>
      </c>
      <c r="G221">
        <v>1111</v>
      </c>
      <c r="H221">
        <v>1.26</v>
      </c>
      <c r="I221">
        <v>0</v>
      </c>
      <c r="J221">
        <v>2015</v>
      </c>
      <c r="K221" t="s">
        <v>14</v>
      </c>
      <c r="L221" t="s">
        <v>15</v>
      </c>
      <c r="M221" t="str">
        <f>IF(J221&gt;2010,"Yes","No")</f>
        <v>Yes</v>
      </c>
      <c r="N221">
        <f>F221/D221</f>
        <v>0.13730255164034022</v>
      </c>
      <c r="O221">
        <f>E221/D221</f>
        <v>6.3564434279179478</v>
      </c>
    </row>
    <row r="222" spans="1:15" x14ac:dyDescent="0.3">
      <c r="A222" t="s">
        <v>483</v>
      </c>
      <c r="B222" t="s">
        <v>30</v>
      </c>
      <c r="C222">
        <v>1</v>
      </c>
      <c r="D222">
        <v>140.01</v>
      </c>
      <c r="E222">
        <v>957.77</v>
      </c>
      <c r="F222">
        <v>44.94</v>
      </c>
      <c r="G222">
        <v>4680</v>
      </c>
      <c r="H222">
        <v>5.15</v>
      </c>
      <c r="I222">
        <v>0</v>
      </c>
      <c r="J222">
        <v>2005</v>
      </c>
      <c r="K222" t="s">
        <v>14</v>
      </c>
      <c r="L222" t="s">
        <v>23</v>
      </c>
      <c r="M222" t="str">
        <f>IF(J222&gt;2010,"Yes","No")</f>
        <v>No</v>
      </c>
      <c r="N222">
        <f>F222/D222</f>
        <v>0.32097707306620954</v>
      </c>
      <c r="O222">
        <f>E222/D222</f>
        <v>6.840725662452682</v>
      </c>
    </row>
    <row r="223" spans="1:15" x14ac:dyDescent="0.3">
      <c r="A223" t="s">
        <v>188</v>
      </c>
      <c r="B223" t="s">
        <v>21</v>
      </c>
      <c r="C223">
        <v>4</v>
      </c>
      <c r="D223">
        <v>140.46</v>
      </c>
      <c r="E223">
        <v>1713.59</v>
      </c>
      <c r="F223">
        <v>87.23</v>
      </c>
      <c r="G223">
        <v>4679</v>
      </c>
      <c r="H223">
        <v>5.45</v>
      </c>
      <c r="I223">
        <v>0</v>
      </c>
      <c r="J223">
        <v>2018</v>
      </c>
      <c r="K223" t="s">
        <v>14</v>
      </c>
      <c r="L223" t="s">
        <v>15</v>
      </c>
      <c r="M223" t="str">
        <f>IF(J223&gt;2010,"Yes","No")</f>
        <v>Yes</v>
      </c>
      <c r="N223">
        <f>F223/D223</f>
        <v>0.62103089847643456</v>
      </c>
      <c r="O223">
        <f>E223/D223</f>
        <v>12.19984337177844</v>
      </c>
    </row>
    <row r="224" spans="1:15" x14ac:dyDescent="0.3">
      <c r="A224" t="s">
        <v>329</v>
      </c>
      <c r="B224" t="s">
        <v>39</v>
      </c>
      <c r="C224">
        <v>1</v>
      </c>
      <c r="D224">
        <v>140.83000000000001</v>
      </c>
      <c r="E224">
        <v>1440.78</v>
      </c>
      <c r="F224">
        <v>97.28</v>
      </c>
      <c r="G224">
        <v>166</v>
      </c>
      <c r="H224">
        <v>5.99</v>
      </c>
      <c r="I224">
        <v>1</v>
      </c>
      <c r="J224">
        <v>1999</v>
      </c>
      <c r="K224" t="s">
        <v>28</v>
      </c>
      <c r="L224" t="s">
        <v>15</v>
      </c>
      <c r="M224" t="str">
        <f>IF(J224&gt;2010,"Yes","No")</f>
        <v>No</v>
      </c>
      <c r="N224">
        <f>F224/D224</f>
        <v>0.69076191152453303</v>
      </c>
      <c r="O224">
        <f>E224/D224</f>
        <v>10.230632677696512</v>
      </c>
    </row>
    <row r="225" spans="1:15" x14ac:dyDescent="0.3">
      <c r="A225" t="s">
        <v>445</v>
      </c>
      <c r="B225" t="s">
        <v>75</v>
      </c>
      <c r="C225">
        <v>5</v>
      </c>
      <c r="D225">
        <v>141.32</v>
      </c>
      <c r="E225">
        <v>2051.67</v>
      </c>
      <c r="F225">
        <v>71.87</v>
      </c>
      <c r="G225">
        <v>1728</v>
      </c>
      <c r="H225">
        <v>6.82</v>
      </c>
      <c r="I225">
        <v>1</v>
      </c>
      <c r="J225">
        <v>2016</v>
      </c>
      <c r="K225" t="s">
        <v>32</v>
      </c>
      <c r="L225" t="s">
        <v>15</v>
      </c>
      <c r="M225" t="str">
        <f>IF(J225&gt;2010,"Yes","No")</f>
        <v>Yes</v>
      </c>
      <c r="N225">
        <f>F225/D225</f>
        <v>0.508562128502689</v>
      </c>
      <c r="O225">
        <f>E225/D225</f>
        <v>14.517902632323805</v>
      </c>
    </row>
    <row r="226" spans="1:15" x14ac:dyDescent="0.3">
      <c r="A226" t="s">
        <v>42</v>
      </c>
      <c r="B226" t="s">
        <v>30</v>
      </c>
      <c r="C226">
        <v>2</v>
      </c>
      <c r="D226">
        <v>141.58000000000001</v>
      </c>
      <c r="E226">
        <v>1593.98</v>
      </c>
      <c r="F226">
        <v>16.77</v>
      </c>
      <c r="G226">
        <v>1846</v>
      </c>
      <c r="H226">
        <v>1</v>
      </c>
      <c r="I226">
        <v>1</v>
      </c>
      <c r="J226">
        <v>1994</v>
      </c>
      <c r="K226" t="s">
        <v>28</v>
      </c>
      <c r="L226" t="s">
        <v>15</v>
      </c>
      <c r="M226" t="str">
        <f>IF(J226&gt;2010,"Yes","No")</f>
        <v>No</v>
      </c>
      <c r="N226">
        <f>F226/D226</f>
        <v>0.11844893346517868</v>
      </c>
      <c r="O226">
        <f>E226/D226</f>
        <v>11.258511089136883</v>
      </c>
    </row>
    <row r="227" spans="1:15" x14ac:dyDescent="0.3">
      <c r="A227" t="s">
        <v>357</v>
      </c>
      <c r="B227" t="s">
        <v>21</v>
      </c>
      <c r="C227">
        <v>5</v>
      </c>
      <c r="D227">
        <v>141.72</v>
      </c>
      <c r="E227">
        <v>1537.51</v>
      </c>
      <c r="F227">
        <v>98.9</v>
      </c>
      <c r="G227">
        <v>679</v>
      </c>
      <c r="H227">
        <v>5.4</v>
      </c>
      <c r="I227">
        <v>1</v>
      </c>
      <c r="J227">
        <v>2005</v>
      </c>
      <c r="K227" t="s">
        <v>41</v>
      </c>
      <c r="L227" t="s">
        <v>15</v>
      </c>
      <c r="M227" t="str">
        <f>IF(J227&gt;2010,"Yes","No")</f>
        <v>No</v>
      </c>
      <c r="N227">
        <f>F227/D227</f>
        <v>0.69785492520462888</v>
      </c>
      <c r="O227">
        <f>E227/D227</f>
        <v>10.848927462602315</v>
      </c>
    </row>
    <row r="228" spans="1:15" x14ac:dyDescent="0.3">
      <c r="A228" t="s">
        <v>138</v>
      </c>
      <c r="B228" t="s">
        <v>17</v>
      </c>
      <c r="C228">
        <v>3</v>
      </c>
      <c r="D228">
        <v>142.22999999999999</v>
      </c>
      <c r="E228">
        <v>2056.0700000000002</v>
      </c>
      <c r="F228">
        <v>23.75</v>
      </c>
      <c r="G228">
        <v>3541</v>
      </c>
      <c r="H228">
        <v>2.76</v>
      </c>
      <c r="I228">
        <v>0</v>
      </c>
      <c r="J228">
        <v>1999</v>
      </c>
      <c r="K228" t="s">
        <v>14</v>
      </c>
      <c r="L228" t="s">
        <v>23</v>
      </c>
      <c r="M228" t="str">
        <f>IF(J228&gt;2010,"Yes","No")</f>
        <v>No</v>
      </c>
      <c r="N228">
        <f>F228/D228</f>
        <v>0.16698305561414611</v>
      </c>
      <c r="O228">
        <f>E228/D228</f>
        <v>14.455951627645366</v>
      </c>
    </row>
    <row r="229" spans="1:15" x14ac:dyDescent="0.3">
      <c r="A229" t="s">
        <v>312</v>
      </c>
      <c r="B229" t="s">
        <v>34</v>
      </c>
      <c r="C229">
        <v>5</v>
      </c>
      <c r="D229">
        <v>142.34</v>
      </c>
      <c r="E229">
        <v>2054.4699999999998</v>
      </c>
      <c r="F229">
        <v>87.44</v>
      </c>
      <c r="G229">
        <v>896</v>
      </c>
      <c r="H229">
        <v>5.51</v>
      </c>
      <c r="I229">
        <v>0</v>
      </c>
      <c r="J229">
        <v>2021</v>
      </c>
      <c r="K229" t="s">
        <v>18</v>
      </c>
      <c r="L229" t="s">
        <v>15</v>
      </c>
      <c r="M229" t="str">
        <f>IF(J229&gt;2010,"Yes","No")</f>
        <v>Yes</v>
      </c>
      <c r="N229">
        <f>F229/D229</f>
        <v>0.61430377968245042</v>
      </c>
      <c r="O229">
        <f>E229/D229</f>
        <v>14.433539412673877</v>
      </c>
    </row>
    <row r="230" spans="1:15" x14ac:dyDescent="0.3">
      <c r="A230" t="s">
        <v>102</v>
      </c>
      <c r="B230" t="s">
        <v>13</v>
      </c>
      <c r="C230">
        <v>1</v>
      </c>
      <c r="D230">
        <v>142.53</v>
      </c>
      <c r="E230">
        <v>935.34</v>
      </c>
      <c r="F230">
        <v>43.57</v>
      </c>
      <c r="G230">
        <v>2216</v>
      </c>
      <c r="H230">
        <v>3.98</v>
      </c>
      <c r="I230">
        <v>1</v>
      </c>
      <c r="J230">
        <v>1995</v>
      </c>
      <c r="K230" t="s">
        <v>14</v>
      </c>
      <c r="L230" t="s">
        <v>15</v>
      </c>
      <c r="M230" t="str">
        <f>IF(J230&gt;2010,"Yes","No")</f>
        <v>No</v>
      </c>
      <c r="N230">
        <f>F230/D230</f>
        <v>0.30569003016908719</v>
      </c>
      <c r="O230">
        <f>E230/D230</f>
        <v>6.5624079141233427</v>
      </c>
    </row>
    <row r="231" spans="1:15" x14ac:dyDescent="0.3">
      <c r="A231" t="s">
        <v>240</v>
      </c>
      <c r="B231" t="s">
        <v>25</v>
      </c>
      <c r="C231">
        <v>4</v>
      </c>
      <c r="D231">
        <v>143.26</v>
      </c>
      <c r="E231">
        <v>1197.1099999999999</v>
      </c>
      <c r="F231">
        <v>11.85</v>
      </c>
      <c r="G231">
        <v>2373</v>
      </c>
      <c r="H231">
        <v>0.21</v>
      </c>
      <c r="I231">
        <v>0</v>
      </c>
      <c r="J231">
        <v>2008</v>
      </c>
      <c r="K231" t="s">
        <v>28</v>
      </c>
      <c r="L231" t="s">
        <v>15</v>
      </c>
      <c r="M231" t="str">
        <f>IF(J231&gt;2010,"Yes","No")</f>
        <v>No</v>
      </c>
      <c r="N231">
        <f>F231/D231</f>
        <v>8.2716738796593609E-2</v>
      </c>
      <c r="O231">
        <f>E231/D231</f>
        <v>8.3562055004886222</v>
      </c>
    </row>
    <row r="232" spans="1:15" x14ac:dyDescent="0.3">
      <c r="A232" t="s">
        <v>442</v>
      </c>
      <c r="B232" t="s">
        <v>75</v>
      </c>
      <c r="C232">
        <v>3</v>
      </c>
      <c r="D232">
        <v>144.04</v>
      </c>
      <c r="E232">
        <v>873.6</v>
      </c>
      <c r="F232">
        <v>25.89</v>
      </c>
      <c r="G232">
        <v>1077</v>
      </c>
      <c r="H232">
        <v>4.21</v>
      </c>
      <c r="I232">
        <v>0</v>
      </c>
      <c r="J232">
        <v>2003</v>
      </c>
      <c r="K232" t="s">
        <v>41</v>
      </c>
      <c r="L232" t="s">
        <v>15</v>
      </c>
      <c r="M232" t="str">
        <f>IF(J232&gt;2010,"Yes","No")</f>
        <v>No</v>
      </c>
      <c r="N232">
        <f>F232/D232</f>
        <v>0.17974173840599836</v>
      </c>
      <c r="O232">
        <f>E232/D232</f>
        <v>6.0649819494584847</v>
      </c>
    </row>
    <row r="233" spans="1:15" x14ac:dyDescent="0.3">
      <c r="A233" t="s">
        <v>179</v>
      </c>
      <c r="B233" t="s">
        <v>21</v>
      </c>
      <c r="C233">
        <v>1</v>
      </c>
      <c r="D233">
        <v>144.19</v>
      </c>
      <c r="E233">
        <v>2000.02</v>
      </c>
      <c r="F233">
        <v>74.95</v>
      </c>
      <c r="G233">
        <v>3239</v>
      </c>
      <c r="H233">
        <v>1.33</v>
      </c>
      <c r="I233">
        <v>1</v>
      </c>
      <c r="J233">
        <v>2002</v>
      </c>
      <c r="K233" t="s">
        <v>18</v>
      </c>
      <c r="L233" t="s">
        <v>15</v>
      </c>
      <c r="M233" t="str">
        <f>IF(J233&gt;2010,"Yes","No")</f>
        <v>No</v>
      </c>
      <c r="N233">
        <f>F233/D233</f>
        <v>0.51980026354116105</v>
      </c>
      <c r="O233">
        <f>E233/D233</f>
        <v>13.870726125251405</v>
      </c>
    </row>
    <row r="234" spans="1:15" x14ac:dyDescent="0.3">
      <c r="A234" t="s">
        <v>435</v>
      </c>
      <c r="B234" t="s">
        <v>30</v>
      </c>
      <c r="C234">
        <v>2</v>
      </c>
      <c r="D234">
        <v>144.53</v>
      </c>
      <c r="E234">
        <v>1326.19</v>
      </c>
      <c r="F234">
        <v>45.11</v>
      </c>
      <c r="G234">
        <v>30</v>
      </c>
      <c r="H234">
        <v>1.75</v>
      </c>
      <c r="I234">
        <v>1</v>
      </c>
      <c r="J234">
        <v>2017</v>
      </c>
      <c r="K234" t="s">
        <v>41</v>
      </c>
      <c r="L234" t="s">
        <v>15</v>
      </c>
      <c r="M234" t="str">
        <f>IF(J234&gt;2010,"Yes","No")</f>
        <v>Yes</v>
      </c>
      <c r="N234">
        <f>F234/D234</f>
        <v>0.31211513180654532</v>
      </c>
      <c r="O234">
        <f>E234/D234</f>
        <v>9.1758804400470488</v>
      </c>
    </row>
    <row r="235" spans="1:15" x14ac:dyDescent="0.3">
      <c r="A235" t="s">
        <v>154</v>
      </c>
      <c r="B235" t="s">
        <v>17</v>
      </c>
      <c r="C235">
        <v>3</v>
      </c>
      <c r="D235">
        <v>144.58000000000001</v>
      </c>
      <c r="E235">
        <v>2128.3200000000002</v>
      </c>
      <c r="F235">
        <v>94.71</v>
      </c>
      <c r="G235">
        <v>3940</v>
      </c>
      <c r="H235">
        <v>1.88</v>
      </c>
      <c r="I235">
        <v>0</v>
      </c>
      <c r="J235">
        <v>2010</v>
      </c>
      <c r="K235" t="s">
        <v>32</v>
      </c>
      <c r="L235" t="s">
        <v>23</v>
      </c>
      <c r="M235" t="str">
        <f>IF(J235&gt;2010,"Yes","No")</f>
        <v>No</v>
      </c>
      <c r="N235">
        <f>F235/D235</f>
        <v>0.6550698575183288</v>
      </c>
      <c r="O235">
        <f>E235/D235</f>
        <v>14.720708258403652</v>
      </c>
    </row>
    <row r="236" spans="1:15" x14ac:dyDescent="0.3">
      <c r="A236" t="s">
        <v>400</v>
      </c>
      <c r="B236" t="s">
        <v>34</v>
      </c>
      <c r="C236">
        <v>2</v>
      </c>
      <c r="D236">
        <v>144.97</v>
      </c>
      <c r="E236">
        <v>2053.33</v>
      </c>
      <c r="F236">
        <v>89.16</v>
      </c>
      <c r="G236">
        <v>4407</v>
      </c>
      <c r="H236">
        <v>3.25</v>
      </c>
      <c r="I236">
        <v>0</v>
      </c>
      <c r="J236">
        <v>2005</v>
      </c>
      <c r="K236" t="s">
        <v>41</v>
      </c>
      <c r="L236" t="s">
        <v>23</v>
      </c>
      <c r="M236" t="str">
        <f>IF(J236&gt;2010,"Yes","No")</f>
        <v>No</v>
      </c>
      <c r="N236">
        <f>F236/D236</f>
        <v>0.61502379802717799</v>
      </c>
      <c r="O236">
        <f>E236/D236</f>
        <v>14.163826998689384</v>
      </c>
    </row>
    <row r="237" spans="1:15" x14ac:dyDescent="0.3">
      <c r="A237" t="s">
        <v>93</v>
      </c>
      <c r="B237" t="s">
        <v>34</v>
      </c>
      <c r="C237">
        <v>2</v>
      </c>
      <c r="D237">
        <v>145.38</v>
      </c>
      <c r="E237">
        <v>1571</v>
      </c>
      <c r="F237">
        <v>69.8</v>
      </c>
      <c r="G237">
        <v>1242</v>
      </c>
      <c r="H237">
        <v>7.29</v>
      </c>
      <c r="I237">
        <v>0</v>
      </c>
      <c r="J237">
        <v>1994</v>
      </c>
      <c r="K237" t="s">
        <v>32</v>
      </c>
      <c r="L237" t="s">
        <v>15</v>
      </c>
      <c r="M237" t="str">
        <f>IF(J237&gt;2010,"Yes","No")</f>
        <v>No</v>
      </c>
      <c r="N237">
        <f>F237/D237</f>
        <v>0.48012106204429772</v>
      </c>
      <c r="O237">
        <f>E237/D237</f>
        <v>10.806163158618793</v>
      </c>
    </row>
    <row r="238" spans="1:15" x14ac:dyDescent="0.3">
      <c r="A238" t="s">
        <v>430</v>
      </c>
      <c r="B238" t="s">
        <v>39</v>
      </c>
      <c r="C238">
        <v>2</v>
      </c>
      <c r="D238">
        <v>145.58000000000001</v>
      </c>
      <c r="E238">
        <v>1396.9</v>
      </c>
      <c r="F238">
        <v>88</v>
      </c>
      <c r="G238">
        <v>237</v>
      </c>
      <c r="H238">
        <v>6.38</v>
      </c>
      <c r="I238">
        <v>0</v>
      </c>
      <c r="J238">
        <v>1997</v>
      </c>
      <c r="K238" t="s">
        <v>41</v>
      </c>
      <c r="L238" t="s">
        <v>26</v>
      </c>
      <c r="M238" t="str">
        <f>IF(J238&gt;2010,"Yes","No")</f>
        <v>No</v>
      </c>
      <c r="N238">
        <f>F238/D238</f>
        <v>0.60447863717543615</v>
      </c>
      <c r="O238">
        <f>E238/D238</f>
        <v>9.5954114576178036</v>
      </c>
    </row>
    <row r="239" spans="1:15" x14ac:dyDescent="0.3">
      <c r="A239" t="s">
        <v>44</v>
      </c>
      <c r="B239" t="s">
        <v>39</v>
      </c>
      <c r="C239">
        <v>2</v>
      </c>
      <c r="D239">
        <v>145.69</v>
      </c>
      <c r="E239">
        <v>1276.06</v>
      </c>
      <c r="F239">
        <v>38.83</v>
      </c>
      <c r="G239">
        <v>915</v>
      </c>
      <c r="H239">
        <v>0.67</v>
      </c>
      <c r="I239">
        <v>1</v>
      </c>
      <c r="J239">
        <v>2009</v>
      </c>
      <c r="K239" t="s">
        <v>28</v>
      </c>
      <c r="L239" t="s">
        <v>15</v>
      </c>
      <c r="M239" t="str">
        <f>IF(J239&gt;2010,"Yes","No")</f>
        <v>No</v>
      </c>
      <c r="N239">
        <f>F239/D239</f>
        <v>0.26652481295902258</v>
      </c>
      <c r="O239">
        <f>E239/D239</f>
        <v>8.7587342988537298</v>
      </c>
    </row>
    <row r="240" spans="1:15" x14ac:dyDescent="0.3">
      <c r="A240" t="s">
        <v>228</v>
      </c>
      <c r="B240" t="s">
        <v>34</v>
      </c>
      <c r="C240">
        <v>5</v>
      </c>
      <c r="D240">
        <v>147.61000000000001</v>
      </c>
      <c r="E240">
        <v>566.70000000000005</v>
      </c>
      <c r="F240">
        <v>89.73</v>
      </c>
      <c r="G240">
        <v>2560</v>
      </c>
      <c r="H240">
        <v>3.88</v>
      </c>
      <c r="I240">
        <v>0</v>
      </c>
      <c r="J240">
        <v>1994</v>
      </c>
      <c r="K240" t="s">
        <v>14</v>
      </c>
      <c r="L240" t="s">
        <v>15</v>
      </c>
      <c r="M240" t="str">
        <f>IF(J240&gt;2010,"Yes","No")</f>
        <v>No</v>
      </c>
      <c r="N240">
        <f>F240/D240</f>
        <v>0.60788564460402406</v>
      </c>
      <c r="O240">
        <f>E240/D240</f>
        <v>3.8391707878869994</v>
      </c>
    </row>
    <row r="241" spans="1:15" x14ac:dyDescent="0.3">
      <c r="A241" t="s">
        <v>455</v>
      </c>
      <c r="B241" t="s">
        <v>75</v>
      </c>
      <c r="C241">
        <v>1</v>
      </c>
      <c r="D241">
        <v>148.24</v>
      </c>
      <c r="E241">
        <v>1541.4</v>
      </c>
      <c r="F241">
        <v>66.56</v>
      </c>
      <c r="G241">
        <v>1701</v>
      </c>
      <c r="H241">
        <v>5.01</v>
      </c>
      <c r="I241">
        <v>0</v>
      </c>
      <c r="J241">
        <v>2014</v>
      </c>
      <c r="K241" t="s">
        <v>32</v>
      </c>
      <c r="L241" t="s">
        <v>15</v>
      </c>
      <c r="M241" t="str">
        <f>IF(J241&gt;2010,"Yes","No")</f>
        <v>Yes</v>
      </c>
      <c r="N241">
        <f>F241/D241</f>
        <v>0.44900161899622232</v>
      </c>
      <c r="O241">
        <f>E241/D241</f>
        <v>10.398003237992445</v>
      </c>
    </row>
    <row r="242" spans="1:15" x14ac:dyDescent="0.3">
      <c r="A242" t="s">
        <v>71</v>
      </c>
      <c r="B242" t="s">
        <v>25</v>
      </c>
      <c r="C242">
        <v>5</v>
      </c>
      <c r="D242">
        <v>148.54</v>
      </c>
      <c r="E242">
        <v>1926.64</v>
      </c>
      <c r="F242">
        <v>6.35</v>
      </c>
      <c r="G242">
        <v>1382</v>
      </c>
      <c r="H242">
        <v>4.3600000000000003</v>
      </c>
      <c r="I242">
        <v>0</v>
      </c>
      <c r="J242">
        <v>2017</v>
      </c>
      <c r="K242" t="s">
        <v>18</v>
      </c>
      <c r="L242" t="s">
        <v>15</v>
      </c>
      <c r="M242" t="str">
        <f>IF(J242&gt;2010,"Yes","No")</f>
        <v>Yes</v>
      </c>
      <c r="N242">
        <f>F242/D242</f>
        <v>4.274942776356537E-2</v>
      </c>
      <c r="O242">
        <f>E242/D242</f>
        <v>12.970512993133164</v>
      </c>
    </row>
    <row r="243" spans="1:15" x14ac:dyDescent="0.3">
      <c r="A243" t="s">
        <v>62</v>
      </c>
      <c r="B243" t="s">
        <v>39</v>
      </c>
      <c r="C243">
        <v>1</v>
      </c>
      <c r="D243">
        <v>149.49</v>
      </c>
      <c r="E243">
        <v>728.61</v>
      </c>
      <c r="F243">
        <v>98.2</v>
      </c>
      <c r="G243">
        <v>3145</v>
      </c>
      <c r="H243">
        <v>6.83</v>
      </c>
      <c r="I243">
        <v>0</v>
      </c>
      <c r="J243">
        <v>1996</v>
      </c>
      <c r="K243" t="s">
        <v>18</v>
      </c>
      <c r="L243" t="s">
        <v>15</v>
      </c>
      <c r="M243" t="str">
        <f>IF(J243&gt;2010,"Yes","No")</f>
        <v>No</v>
      </c>
      <c r="N243">
        <f>F243/D243</f>
        <v>0.65690012709880252</v>
      </c>
      <c r="O243">
        <f>E243/D243</f>
        <v>4.8739715031105755</v>
      </c>
    </row>
    <row r="244" spans="1:15" x14ac:dyDescent="0.3">
      <c r="A244" t="s">
        <v>59</v>
      </c>
      <c r="B244" t="s">
        <v>25</v>
      </c>
      <c r="C244">
        <v>5</v>
      </c>
      <c r="D244">
        <v>149.68</v>
      </c>
      <c r="E244">
        <v>740.7</v>
      </c>
      <c r="F244">
        <v>14.99</v>
      </c>
      <c r="G244">
        <v>3812</v>
      </c>
      <c r="H244">
        <v>2.36</v>
      </c>
      <c r="I244">
        <v>0</v>
      </c>
      <c r="J244">
        <v>2021</v>
      </c>
      <c r="K244" t="s">
        <v>14</v>
      </c>
      <c r="L244" t="s">
        <v>15</v>
      </c>
      <c r="M244" t="str">
        <f>IF(J244&gt;2010,"Yes","No")</f>
        <v>Yes</v>
      </c>
      <c r="N244">
        <f>F244/D244</f>
        <v>0.10014698022447889</v>
      </c>
      <c r="O244">
        <f>E244/D244</f>
        <v>4.948556921432389</v>
      </c>
    </row>
    <row r="245" spans="1:15" x14ac:dyDescent="0.3">
      <c r="A245" t="s">
        <v>469</v>
      </c>
      <c r="B245" t="s">
        <v>17</v>
      </c>
      <c r="C245">
        <v>1</v>
      </c>
      <c r="D245">
        <v>151.69999999999999</v>
      </c>
      <c r="E245">
        <v>478.25</v>
      </c>
      <c r="F245">
        <v>59.91</v>
      </c>
      <c r="G245">
        <v>1121</v>
      </c>
      <c r="H245">
        <v>4.1399999999999997</v>
      </c>
      <c r="I245">
        <v>1</v>
      </c>
      <c r="J245">
        <v>2012</v>
      </c>
      <c r="K245" t="s">
        <v>32</v>
      </c>
      <c r="L245" t="s">
        <v>15</v>
      </c>
      <c r="M245" t="str">
        <f>IF(J245&gt;2010,"Yes","No")</f>
        <v>Yes</v>
      </c>
      <c r="N245">
        <f>F245/D245</f>
        <v>0.39492419248516808</v>
      </c>
      <c r="O245">
        <f>E245/D245</f>
        <v>3.1526038233355309</v>
      </c>
    </row>
    <row r="246" spans="1:15" x14ac:dyDescent="0.3">
      <c r="A246" t="s">
        <v>45</v>
      </c>
      <c r="B246" t="s">
        <v>21</v>
      </c>
      <c r="C246">
        <v>3</v>
      </c>
      <c r="D246">
        <v>153.97999999999999</v>
      </c>
      <c r="E246">
        <v>1729.44</v>
      </c>
      <c r="F246">
        <v>40.29</v>
      </c>
      <c r="G246">
        <v>4345</v>
      </c>
      <c r="H246">
        <v>4.5</v>
      </c>
      <c r="I246">
        <v>0</v>
      </c>
      <c r="J246">
        <v>1995</v>
      </c>
      <c r="K246" t="s">
        <v>32</v>
      </c>
      <c r="L246" t="s">
        <v>23</v>
      </c>
      <c r="M246" t="str">
        <f>IF(J246&gt;2010,"Yes","No")</f>
        <v>No</v>
      </c>
      <c r="N246">
        <f>F246/D246</f>
        <v>0.26165735809845436</v>
      </c>
      <c r="O246">
        <f>E246/D246</f>
        <v>11.23158851798935</v>
      </c>
    </row>
    <row r="247" spans="1:15" x14ac:dyDescent="0.3">
      <c r="A247" t="s">
        <v>491</v>
      </c>
      <c r="B247" t="s">
        <v>13</v>
      </c>
      <c r="C247">
        <v>1</v>
      </c>
      <c r="D247">
        <v>154.03</v>
      </c>
      <c r="E247">
        <v>2246</v>
      </c>
      <c r="F247">
        <v>6.83</v>
      </c>
      <c r="G247">
        <v>2006</v>
      </c>
      <c r="H247">
        <v>2.88</v>
      </c>
      <c r="I247">
        <v>0</v>
      </c>
      <c r="J247">
        <v>2011</v>
      </c>
      <c r="K247" t="s">
        <v>28</v>
      </c>
      <c r="L247" t="s">
        <v>15</v>
      </c>
      <c r="M247" t="str">
        <f>IF(J247&gt;2010,"Yes","No")</f>
        <v>Yes</v>
      </c>
      <c r="N247">
        <f>F247/D247</f>
        <v>4.4342011296500679E-2</v>
      </c>
      <c r="O247">
        <f>E247/D247</f>
        <v>14.581575017853664</v>
      </c>
    </row>
    <row r="248" spans="1:15" x14ac:dyDescent="0.3">
      <c r="A248" t="s">
        <v>471</v>
      </c>
      <c r="B248" t="s">
        <v>17</v>
      </c>
      <c r="C248">
        <v>5</v>
      </c>
      <c r="D248">
        <v>154.44</v>
      </c>
      <c r="E248">
        <v>1707.71</v>
      </c>
      <c r="F248">
        <v>13.97</v>
      </c>
      <c r="G248">
        <v>3504</v>
      </c>
      <c r="H248">
        <v>2.2999999999999998</v>
      </c>
      <c r="I248">
        <v>0</v>
      </c>
      <c r="J248">
        <v>2017</v>
      </c>
      <c r="K248" t="s">
        <v>28</v>
      </c>
      <c r="L248" t="s">
        <v>15</v>
      </c>
      <c r="M248" t="str">
        <f>IF(J248&gt;2010,"Yes","No")</f>
        <v>Yes</v>
      </c>
      <c r="N248">
        <f>F248/D248</f>
        <v>9.0455840455840458E-2</v>
      </c>
      <c r="O248">
        <f>E248/D248</f>
        <v>11.057433307433309</v>
      </c>
    </row>
    <row r="249" spans="1:15" x14ac:dyDescent="0.3">
      <c r="A249" t="s">
        <v>227</v>
      </c>
      <c r="B249" t="s">
        <v>30</v>
      </c>
      <c r="C249">
        <v>1</v>
      </c>
      <c r="D249">
        <v>154.82</v>
      </c>
      <c r="E249">
        <v>1708.47</v>
      </c>
      <c r="F249">
        <v>36.369999999999997</v>
      </c>
      <c r="G249">
        <v>2163</v>
      </c>
      <c r="H249">
        <v>2.13</v>
      </c>
      <c r="I249">
        <v>0</v>
      </c>
      <c r="J249">
        <v>2007</v>
      </c>
      <c r="K249" t="s">
        <v>28</v>
      </c>
      <c r="L249" t="s">
        <v>15</v>
      </c>
      <c r="M249" t="str">
        <f>IF(J249&gt;2010,"Yes","No")</f>
        <v>No</v>
      </c>
      <c r="N249">
        <f>F249/D249</f>
        <v>0.23491796925461825</v>
      </c>
      <c r="O249">
        <f>E249/D249</f>
        <v>11.03520217026224</v>
      </c>
    </row>
    <row r="250" spans="1:15" x14ac:dyDescent="0.3">
      <c r="A250" t="s">
        <v>259</v>
      </c>
      <c r="B250" t="s">
        <v>25</v>
      </c>
      <c r="C250">
        <v>5</v>
      </c>
      <c r="D250">
        <v>155.07</v>
      </c>
      <c r="E250">
        <v>1836.98</v>
      </c>
      <c r="F250">
        <v>33.75</v>
      </c>
      <c r="G250">
        <v>4050</v>
      </c>
      <c r="H250">
        <v>5.99</v>
      </c>
      <c r="I250">
        <v>0</v>
      </c>
      <c r="J250">
        <v>1990</v>
      </c>
      <c r="K250" t="s">
        <v>28</v>
      </c>
      <c r="L250" t="s">
        <v>15</v>
      </c>
      <c r="M250" t="str">
        <f>IF(J250&gt;2010,"Yes","No")</f>
        <v>No</v>
      </c>
      <c r="N250">
        <f>F250/D250</f>
        <v>0.21764364480557169</v>
      </c>
      <c r="O250">
        <f>E250/D250</f>
        <v>11.846134003998195</v>
      </c>
    </row>
    <row r="251" spans="1:15" x14ac:dyDescent="0.3">
      <c r="A251" t="s">
        <v>223</v>
      </c>
      <c r="B251" t="s">
        <v>75</v>
      </c>
      <c r="C251">
        <v>1</v>
      </c>
      <c r="D251">
        <v>155.72</v>
      </c>
      <c r="E251">
        <v>1109.1500000000001</v>
      </c>
      <c r="F251">
        <v>44.82</v>
      </c>
      <c r="G251">
        <v>2427</v>
      </c>
      <c r="H251">
        <v>0.93</v>
      </c>
      <c r="I251">
        <v>0</v>
      </c>
      <c r="J251">
        <v>2009</v>
      </c>
      <c r="K251" t="s">
        <v>41</v>
      </c>
      <c r="L251" t="s">
        <v>15</v>
      </c>
      <c r="M251" t="str">
        <f>IF(J251&gt;2010,"Yes","No")</f>
        <v>No</v>
      </c>
      <c r="N251">
        <f>F251/D251</f>
        <v>0.28782430002568715</v>
      </c>
      <c r="O251">
        <f>E251/D251</f>
        <v>7.1227202671461605</v>
      </c>
    </row>
    <row r="252" spans="1:15" x14ac:dyDescent="0.3">
      <c r="A252" t="s">
        <v>164</v>
      </c>
      <c r="B252" t="s">
        <v>25</v>
      </c>
      <c r="C252">
        <v>5</v>
      </c>
      <c r="D252">
        <v>156.29</v>
      </c>
      <c r="E252">
        <v>2190.1</v>
      </c>
      <c r="F252">
        <v>22.82</v>
      </c>
      <c r="G252">
        <v>3425</v>
      </c>
      <c r="H252">
        <v>2.21</v>
      </c>
      <c r="I252">
        <v>1</v>
      </c>
      <c r="J252">
        <v>2007</v>
      </c>
      <c r="K252" t="s">
        <v>41</v>
      </c>
      <c r="L252" t="s">
        <v>15</v>
      </c>
      <c r="M252" t="str">
        <f>IF(J252&gt;2010,"Yes","No")</f>
        <v>No</v>
      </c>
      <c r="N252">
        <f>F252/D252</f>
        <v>0.14601062128095207</v>
      </c>
      <c r="O252">
        <f>E252/D252</f>
        <v>14.013052658519419</v>
      </c>
    </row>
    <row r="253" spans="1:15" x14ac:dyDescent="0.3">
      <c r="A253" t="s">
        <v>266</v>
      </c>
      <c r="B253" t="s">
        <v>17</v>
      </c>
      <c r="C253">
        <v>1</v>
      </c>
      <c r="D253">
        <v>156.62</v>
      </c>
      <c r="E253">
        <v>2094.9899999999998</v>
      </c>
      <c r="F253">
        <v>65.2</v>
      </c>
      <c r="G253">
        <v>3802</v>
      </c>
      <c r="H253">
        <v>1.01</v>
      </c>
      <c r="I253">
        <v>0</v>
      </c>
      <c r="J253">
        <v>2020</v>
      </c>
      <c r="K253" t="s">
        <v>32</v>
      </c>
      <c r="L253" t="s">
        <v>15</v>
      </c>
      <c r="M253" t="str">
        <f>IF(J253&gt;2010,"Yes","No")</f>
        <v>Yes</v>
      </c>
      <c r="N253">
        <f>F253/D253</f>
        <v>0.41629421529817395</v>
      </c>
      <c r="O253">
        <f>E253/D253</f>
        <v>13.376261013919038</v>
      </c>
    </row>
    <row r="254" spans="1:15" x14ac:dyDescent="0.3">
      <c r="A254" t="s">
        <v>120</v>
      </c>
      <c r="B254" t="s">
        <v>17</v>
      </c>
      <c r="C254">
        <v>4</v>
      </c>
      <c r="D254">
        <v>156.63</v>
      </c>
      <c r="E254">
        <v>2258.25</v>
      </c>
      <c r="F254">
        <v>3.73</v>
      </c>
      <c r="G254">
        <v>1965</v>
      </c>
      <c r="H254">
        <v>7.61</v>
      </c>
      <c r="I254">
        <v>0</v>
      </c>
      <c r="J254">
        <v>2021</v>
      </c>
      <c r="K254" t="s">
        <v>18</v>
      </c>
      <c r="L254" t="s">
        <v>15</v>
      </c>
      <c r="M254" t="str">
        <f>IF(J254&gt;2010,"Yes","No")</f>
        <v>Yes</v>
      </c>
      <c r="N254">
        <f>F254/D254</f>
        <v>2.3814084147353635E-2</v>
      </c>
      <c r="O254">
        <f>E254/D254</f>
        <v>14.417736065887761</v>
      </c>
    </row>
    <row r="255" spans="1:15" x14ac:dyDescent="0.3">
      <c r="A255" t="s">
        <v>149</v>
      </c>
      <c r="B255" t="s">
        <v>34</v>
      </c>
      <c r="C255">
        <v>3</v>
      </c>
      <c r="D255">
        <v>156.97</v>
      </c>
      <c r="E255">
        <v>1473.5</v>
      </c>
      <c r="F255">
        <v>14.58</v>
      </c>
      <c r="G255">
        <v>2563</v>
      </c>
      <c r="H255">
        <v>7.11</v>
      </c>
      <c r="I255">
        <v>0</v>
      </c>
      <c r="J255">
        <v>2014</v>
      </c>
      <c r="K255" t="s">
        <v>18</v>
      </c>
      <c r="L255" t="s">
        <v>23</v>
      </c>
      <c r="M255" t="str">
        <f>IF(J255&gt;2010,"Yes","No")</f>
        <v>Yes</v>
      </c>
      <c r="N255">
        <f>F255/D255</f>
        <v>9.2883990571446778E-2</v>
      </c>
      <c r="O255">
        <f>E255/D255</f>
        <v>9.38714404026247</v>
      </c>
    </row>
    <row r="256" spans="1:15" x14ac:dyDescent="0.3">
      <c r="A256" t="s">
        <v>185</v>
      </c>
      <c r="B256" t="s">
        <v>30</v>
      </c>
      <c r="C256">
        <v>5</v>
      </c>
      <c r="D256">
        <v>156.99</v>
      </c>
      <c r="E256">
        <v>2074.48</v>
      </c>
      <c r="F256">
        <v>79.42</v>
      </c>
      <c r="G256">
        <v>3403</v>
      </c>
      <c r="H256">
        <v>5.0599999999999996</v>
      </c>
      <c r="I256">
        <v>1</v>
      </c>
      <c r="J256">
        <v>2015</v>
      </c>
      <c r="K256" t="s">
        <v>14</v>
      </c>
      <c r="L256" t="s">
        <v>26</v>
      </c>
      <c r="M256" t="str">
        <f>IF(J256&gt;2010,"Yes","No")</f>
        <v>Yes</v>
      </c>
      <c r="N256">
        <f>F256/D256</f>
        <v>0.50589209503790045</v>
      </c>
      <c r="O256">
        <f>E256/D256</f>
        <v>13.214090069431172</v>
      </c>
    </row>
    <row r="257" spans="1:15" x14ac:dyDescent="0.3">
      <c r="A257" t="s">
        <v>225</v>
      </c>
      <c r="B257" t="s">
        <v>34</v>
      </c>
      <c r="C257">
        <v>3</v>
      </c>
      <c r="D257">
        <v>157.75</v>
      </c>
      <c r="E257">
        <v>1310.73</v>
      </c>
      <c r="F257">
        <v>16.690000000000001</v>
      </c>
      <c r="G257">
        <v>4550</v>
      </c>
      <c r="H257">
        <v>6.81</v>
      </c>
      <c r="I257">
        <v>1</v>
      </c>
      <c r="J257">
        <v>2021</v>
      </c>
      <c r="K257" t="s">
        <v>28</v>
      </c>
      <c r="L257" t="s">
        <v>23</v>
      </c>
      <c r="M257" t="str">
        <f>IF(J257&gt;2010,"Yes","No")</f>
        <v>Yes</v>
      </c>
      <c r="N257">
        <f>F257/D257</f>
        <v>0.10580031695721079</v>
      </c>
      <c r="O257">
        <f>E257/D257</f>
        <v>8.3089064976228215</v>
      </c>
    </row>
    <row r="258" spans="1:15" x14ac:dyDescent="0.3">
      <c r="A258" t="s">
        <v>333</v>
      </c>
      <c r="B258" t="s">
        <v>75</v>
      </c>
      <c r="C258">
        <v>1</v>
      </c>
      <c r="D258">
        <v>158.34</v>
      </c>
      <c r="E258">
        <v>839.42</v>
      </c>
      <c r="F258">
        <v>98.18</v>
      </c>
      <c r="G258">
        <v>944</v>
      </c>
      <c r="H258">
        <v>3.89</v>
      </c>
      <c r="I258">
        <v>0</v>
      </c>
      <c r="J258">
        <v>2003</v>
      </c>
      <c r="K258" t="s">
        <v>28</v>
      </c>
      <c r="L258" t="s">
        <v>15</v>
      </c>
      <c r="M258" t="str">
        <f>IF(J258&gt;2010,"Yes","No")</f>
        <v>No</v>
      </c>
      <c r="N258">
        <f>F258/D258</f>
        <v>0.62005810281672358</v>
      </c>
      <c r="O258">
        <f>E258/D258</f>
        <v>5.301376784135404</v>
      </c>
    </row>
    <row r="259" spans="1:15" x14ac:dyDescent="0.3">
      <c r="A259" t="s">
        <v>57</v>
      </c>
      <c r="B259" t="s">
        <v>25</v>
      </c>
      <c r="C259">
        <v>3</v>
      </c>
      <c r="D259">
        <v>159.13</v>
      </c>
      <c r="E259">
        <v>2272.0300000000002</v>
      </c>
      <c r="F259">
        <v>32.28</v>
      </c>
      <c r="G259">
        <v>1941</v>
      </c>
      <c r="H259">
        <v>8.41</v>
      </c>
      <c r="I259">
        <v>0</v>
      </c>
      <c r="J259">
        <v>2008</v>
      </c>
      <c r="K259" t="s">
        <v>41</v>
      </c>
      <c r="L259" t="s">
        <v>23</v>
      </c>
      <c r="M259" t="str">
        <f>IF(J259&gt;2010,"Yes","No")</f>
        <v>No</v>
      </c>
      <c r="N259">
        <f>F259/D259</f>
        <v>0.20285301325959909</v>
      </c>
      <c r="O259">
        <f>E259/D259</f>
        <v>14.277823163451268</v>
      </c>
    </row>
    <row r="260" spans="1:15" x14ac:dyDescent="0.3">
      <c r="A260" t="s">
        <v>156</v>
      </c>
      <c r="B260" t="s">
        <v>13</v>
      </c>
      <c r="C260">
        <v>5</v>
      </c>
      <c r="D260">
        <v>159.31</v>
      </c>
      <c r="E260">
        <v>1476.77</v>
      </c>
      <c r="F260">
        <v>18.38</v>
      </c>
      <c r="G260">
        <v>2495</v>
      </c>
      <c r="H260">
        <v>8.0500000000000007</v>
      </c>
      <c r="I260">
        <v>0</v>
      </c>
      <c r="J260">
        <v>2011</v>
      </c>
      <c r="K260" t="s">
        <v>28</v>
      </c>
      <c r="L260" t="s">
        <v>15</v>
      </c>
      <c r="M260" t="str">
        <f>IF(J260&gt;2010,"Yes","No")</f>
        <v>Yes</v>
      </c>
      <c r="N260">
        <f>F260/D260</f>
        <v>0.11537254409641579</v>
      </c>
      <c r="O260">
        <f>E260/D260</f>
        <v>9.2697884627455895</v>
      </c>
    </row>
    <row r="261" spans="1:15" x14ac:dyDescent="0.3">
      <c r="A261" t="s">
        <v>364</v>
      </c>
      <c r="B261" t="s">
        <v>30</v>
      </c>
      <c r="C261">
        <v>4</v>
      </c>
      <c r="D261">
        <v>159.34</v>
      </c>
      <c r="E261">
        <v>953.33</v>
      </c>
      <c r="F261">
        <v>78.94</v>
      </c>
      <c r="G261">
        <v>4984</v>
      </c>
      <c r="H261">
        <v>2.09</v>
      </c>
      <c r="I261">
        <v>0</v>
      </c>
      <c r="J261">
        <v>2006</v>
      </c>
      <c r="K261" t="s">
        <v>28</v>
      </c>
      <c r="L261" t="s">
        <v>23</v>
      </c>
      <c r="M261" t="str">
        <f>IF(J261&gt;2010,"Yes","No")</f>
        <v>No</v>
      </c>
      <c r="N261">
        <f>F261/D261</f>
        <v>0.49541860173214508</v>
      </c>
      <c r="O261">
        <f>E261/D261</f>
        <v>5.9829923434165933</v>
      </c>
    </row>
    <row r="262" spans="1:15" x14ac:dyDescent="0.3">
      <c r="A262" t="s">
        <v>252</v>
      </c>
      <c r="B262" t="s">
        <v>25</v>
      </c>
      <c r="C262">
        <v>1</v>
      </c>
      <c r="D262">
        <v>160.01</v>
      </c>
      <c r="E262">
        <v>1057.7</v>
      </c>
      <c r="F262">
        <v>68.72</v>
      </c>
      <c r="G262">
        <v>3958</v>
      </c>
      <c r="H262">
        <v>6.09</v>
      </c>
      <c r="I262">
        <v>1</v>
      </c>
      <c r="J262">
        <v>2013</v>
      </c>
      <c r="K262" t="s">
        <v>41</v>
      </c>
      <c r="L262" t="s">
        <v>15</v>
      </c>
      <c r="M262" t="str">
        <f>IF(J262&gt;2010,"Yes","No")</f>
        <v>Yes</v>
      </c>
      <c r="N262">
        <f>F262/D262</f>
        <v>0.42947315792762952</v>
      </c>
      <c r="O262">
        <f>E262/D262</f>
        <v>6.6102118617586409</v>
      </c>
    </row>
    <row r="263" spans="1:15" x14ac:dyDescent="0.3">
      <c r="A263" t="s">
        <v>525</v>
      </c>
      <c r="B263" t="s">
        <v>75</v>
      </c>
      <c r="C263">
        <v>1</v>
      </c>
      <c r="D263">
        <v>160.29</v>
      </c>
      <c r="E263">
        <v>502.09</v>
      </c>
      <c r="F263">
        <v>84.73</v>
      </c>
      <c r="G263">
        <v>2222</v>
      </c>
      <c r="H263">
        <v>4.32</v>
      </c>
      <c r="I263">
        <v>0</v>
      </c>
      <c r="J263">
        <v>2019</v>
      </c>
      <c r="K263" t="s">
        <v>28</v>
      </c>
      <c r="L263" t="s">
        <v>15</v>
      </c>
      <c r="M263" t="str">
        <f>IF(J263&gt;2010,"Yes","No")</f>
        <v>Yes</v>
      </c>
      <c r="N263">
        <f>F263/D263</f>
        <v>0.52860440451681334</v>
      </c>
      <c r="O263">
        <f>E263/D263</f>
        <v>3.1323850520930812</v>
      </c>
    </row>
    <row r="264" spans="1:15" x14ac:dyDescent="0.3">
      <c r="A264" t="s">
        <v>406</v>
      </c>
      <c r="B264" t="s">
        <v>17</v>
      </c>
      <c r="C264">
        <v>5</v>
      </c>
      <c r="D264">
        <v>160.51</v>
      </c>
      <c r="E264">
        <v>1348.52</v>
      </c>
      <c r="F264">
        <v>47.02</v>
      </c>
      <c r="G264">
        <v>3580</v>
      </c>
      <c r="H264">
        <v>7.97</v>
      </c>
      <c r="I264">
        <v>1</v>
      </c>
      <c r="J264">
        <v>1991</v>
      </c>
      <c r="K264" t="s">
        <v>32</v>
      </c>
      <c r="L264" t="s">
        <v>15</v>
      </c>
      <c r="M264" t="str">
        <f>IF(J264&gt;2010,"Yes","No")</f>
        <v>No</v>
      </c>
      <c r="N264">
        <f>F264/D264</f>
        <v>0.29294124976636976</v>
      </c>
      <c r="O264">
        <f>E264/D264</f>
        <v>8.4014703133761142</v>
      </c>
    </row>
    <row r="265" spans="1:15" x14ac:dyDescent="0.3">
      <c r="A265" t="s">
        <v>161</v>
      </c>
      <c r="B265" t="s">
        <v>25</v>
      </c>
      <c r="C265">
        <v>5</v>
      </c>
      <c r="D265">
        <v>161.75</v>
      </c>
      <c r="E265">
        <v>1058.3900000000001</v>
      </c>
      <c r="F265">
        <v>68.41</v>
      </c>
      <c r="G265">
        <v>1142</v>
      </c>
      <c r="H265">
        <v>0.41</v>
      </c>
      <c r="I265">
        <v>1</v>
      </c>
      <c r="J265">
        <v>2007</v>
      </c>
      <c r="K265" t="s">
        <v>18</v>
      </c>
      <c r="L265" t="s">
        <v>15</v>
      </c>
      <c r="M265" t="str">
        <f>IF(J265&gt;2010,"Yes","No")</f>
        <v>No</v>
      </c>
      <c r="N265">
        <f>F265/D265</f>
        <v>0.42293663060278203</v>
      </c>
      <c r="O265">
        <f>E265/D265</f>
        <v>6.5433693972179299</v>
      </c>
    </row>
    <row r="266" spans="1:15" x14ac:dyDescent="0.3">
      <c r="A266" t="s">
        <v>95</v>
      </c>
      <c r="B266" t="s">
        <v>21</v>
      </c>
      <c r="C266">
        <v>3</v>
      </c>
      <c r="D266">
        <v>162.18</v>
      </c>
      <c r="E266">
        <v>2288.0500000000002</v>
      </c>
      <c r="F266">
        <v>78.28</v>
      </c>
      <c r="G266">
        <v>2839</v>
      </c>
      <c r="H266">
        <v>3.59</v>
      </c>
      <c r="I266">
        <v>0</v>
      </c>
      <c r="J266">
        <v>2012</v>
      </c>
      <c r="K266" t="s">
        <v>14</v>
      </c>
      <c r="L266" t="s">
        <v>15</v>
      </c>
      <c r="M266" t="str">
        <f>IF(J266&gt;2010,"Yes","No")</f>
        <v>Yes</v>
      </c>
      <c r="N266">
        <f>F266/D266</f>
        <v>0.48267357257368354</v>
      </c>
      <c r="O266">
        <f>E266/D266</f>
        <v>14.108089776791219</v>
      </c>
    </row>
    <row r="267" spans="1:15" x14ac:dyDescent="0.3">
      <c r="A267" t="s">
        <v>454</v>
      </c>
      <c r="B267" t="s">
        <v>17</v>
      </c>
      <c r="C267">
        <v>1</v>
      </c>
      <c r="D267">
        <v>162.97</v>
      </c>
      <c r="E267">
        <v>1507.35</v>
      </c>
      <c r="F267">
        <v>25.74</v>
      </c>
      <c r="G267">
        <v>2300</v>
      </c>
      <c r="H267">
        <v>7</v>
      </c>
      <c r="I267">
        <v>0</v>
      </c>
      <c r="J267">
        <v>1993</v>
      </c>
      <c r="K267" t="s">
        <v>41</v>
      </c>
      <c r="L267" t="s">
        <v>15</v>
      </c>
      <c r="M267" t="str">
        <f>IF(J267&gt;2010,"Yes","No")</f>
        <v>No</v>
      </c>
      <c r="N267">
        <f>F267/D267</f>
        <v>0.15794317972632999</v>
      </c>
      <c r="O267">
        <f>E267/D267</f>
        <v>9.2492483279131115</v>
      </c>
    </row>
    <row r="268" spans="1:15" x14ac:dyDescent="0.3">
      <c r="A268" t="s">
        <v>358</v>
      </c>
      <c r="B268" t="s">
        <v>17</v>
      </c>
      <c r="C268">
        <v>3</v>
      </c>
      <c r="D268">
        <v>163.19999999999999</v>
      </c>
      <c r="E268">
        <v>1183.3399999999999</v>
      </c>
      <c r="F268">
        <v>62.65</v>
      </c>
      <c r="G268">
        <v>391</v>
      </c>
      <c r="H268">
        <v>1.53</v>
      </c>
      <c r="I268">
        <v>0</v>
      </c>
      <c r="J268">
        <v>2006</v>
      </c>
      <c r="K268" t="s">
        <v>41</v>
      </c>
      <c r="L268" t="s">
        <v>15</v>
      </c>
      <c r="M268" t="str">
        <f>IF(J268&gt;2010,"Yes","No")</f>
        <v>No</v>
      </c>
      <c r="N268">
        <f>F268/D268</f>
        <v>0.38388480392156865</v>
      </c>
      <c r="O268">
        <f>E268/D268</f>
        <v>7.250857843137255</v>
      </c>
    </row>
    <row r="269" spans="1:15" x14ac:dyDescent="0.3">
      <c r="A269" t="s">
        <v>470</v>
      </c>
      <c r="B269" t="s">
        <v>21</v>
      </c>
      <c r="C269">
        <v>5</v>
      </c>
      <c r="D269">
        <v>163.22</v>
      </c>
      <c r="E269">
        <v>2433.44</v>
      </c>
      <c r="F269">
        <v>50.27</v>
      </c>
      <c r="G269">
        <v>2572</v>
      </c>
      <c r="H269">
        <v>8.8699999999999992</v>
      </c>
      <c r="I269">
        <v>1</v>
      </c>
      <c r="J269">
        <v>2012</v>
      </c>
      <c r="K269" t="s">
        <v>41</v>
      </c>
      <c r="L269" t="s">
        <v>26</v>
      </c>
      <c r="M269" t="str">
        <f>IF(J269&gt;2010,"Yes","No")</f>
        <v>Yes</v>
      </c>
      <c r="N269">
        <f>F269/D269</f>
        <v>0.30798921700771964</v>
      </c>
      <c r="O269">
        <f>E269/D269</f>
        <v>14.908957235632888</v>
      </c>
    </row>
    <row r="270" spans="1:15" x14ac:dyDescent="0.3">
      <c r="A270" t="s">
        <v>263</v>
      </c>
      <c r="B270" t="s">
        <v>30</v>
      </c>
      <c r="C270">
        <v>4</v>
      </c>
      <c r="D270">
        <v>163.36000000000001</v>
      </c>
      <c r="E270">
        <v>672.25</v>
      </c>
      <c r="F270">
        <v>75.98</v>
      </c>
      <c r="G270">
        <v>1889</v>
      </c>
      <c r="H270">
        <v>4.3600000000000003</v>
      </c>
      <c r="I270">
        <v>0</v>
      </c>
      <c r="J270">
        <v>1996</v>
      </c>
      <c r="K270" t="s">
        <v>28</v>
      </c>
      <c r="L270" t="s">
        <v>15</v>
      </c>
      <c r="M270" t="str">
        <f>IF(J270&gt;2010,"Yes","No")</f>
        <v>No</v>
      </c>
      <c r="N270">
        <f>F270/D270</f>
        <v>0.46510773751224288</v>
      </c>
      <c r="O270">
        <f>E270/D270</f>
        <v>4.115144466209598</v>
      </c>
    </row>
    <row r="271" spans="1:15" x14ac:dyDescent="0.3">
      <c r="A271" t="s">
        <v>432</v>
      </c>
      <c r="B271" t="s">
        <v>30</v>
      </c>
      <c r="C271">
        <v>2</v>
      </c>
      <c r="D271">
        <v>166.12</v>
      </c>
      <c r="E271">
        <v>635.33000000000004</v>
      </c>
      <c r="F271">
        <v>3.06</v>
      </c>
      <c r="G271">
        <v>3275</v>
      </c>
      <c r="H271">
        <v>1.27</v>
      </c>
      <c r="I271">
        <v>0</v>
      </c>
      <c r="J271">
        <v>2015</v>
      </c>
      <c r="K271" t="s">
        <v>41</v>
      </c>
      <c r="L271" t="s">
        <v>15</v>
      </c>
      <c r="M271" t="str">
        <f>IF(J271&gt;2010,"Yes","No")</f>
        <v>Yes</v>
      </c>
      <c r="N271">
        <f>F271/D271</f>
        <v>1.8420418974235492E-2</v>
      </c>
      <c r="O271">
        <f>E271/D271</f>
        <v>3.8245244401637373</v>
      </c>
    </row>
    <row r="272" spans="1:15" x14ac:dyDescent="0.3">
      <c r="A272" t="s">
        <v>137</v>
      </c>
      <c r="B272" t="s">
        <v>21</v>
      </c>
      <c r="C272">
        <v>5</v>
      </c>
      <c r="D272">
        <v>166.96</v>
      </c>
      <c r="E272">
        <v>643.69000000000005</v>
      </c>
      <c r="F272">
        <v>8.73</v>
      </c>
      <c r="G272">
        <v>3830</v>
      </c>
      <c r="H272">
        <v>0.3</v>
      </c>
      <c r="I272">
        <v>0</v>
      </c>
      <c r="J272">
        <v>2012</v>
      </c>
      <c r="K272" t="s">
        <v>32</v>
      </c>
      <c r="L272" t="s">
        <v>15</v>
      </c>
      <c r="M272" t="str">
        <f>IF(J272&gt;2010,"Yes","No")</f>
        <v>Yes</v>
      </c>
      <c r="N272">
        <f>F272/D272</f>
        <v>5.2287973167225686E-2</v>
      </c>
      <c r="O272">
        <f>E272/D272</f>
        <v>3.8553545759463348</v>
      </c>
    </row>
    <row r="273" spans="1:15" x14ac:dyDescent="0.3">
      <c r="A273" t="s">
        <v>286</v>
      </c>
      <c r="B273" t="s">
        <v>25</v>
      </c>
      <c r="C273">
        <v>2</v>
      </c>
      <c r="D273">
        <v>167.08</v>
      </c>
      <c r="E273">
        <v>1285.27</v>
      </c>
      <c r="F273">
        <v>25.47</v>
      </c>
      <c r="G273">
        <v>1953</v>
      </c>
      <c r="H273">
        <v>6.29</v>
      </c>
      <c r="I273">
        <v>1</v>
      </c>
      <c r="J273">
        <v>1991</v>
      </c>
      <c r="K273" t="s">
        <v>32</v>
      </c>
      <c r="L273" t="s">
        <v>15</v>
      </c>
      <c r="M273" t="str">
        <f>IF(J273&gt;2010,"Yes","No")</f>
        <v>No</v>
      </c>
      <c r="N273">
        <f>F273/D273</f>
        <v>0.15244194397893224</v>
      </c>
      <c r="O273">
        <f>E273/D273</f>
        <v>7.6925424946133578</v>
      </c>
    </row>
    <row r="274" spans="1:15" x14ac:dyDescent="0.3">
      <c r="A274" t="s">
        <v>376</v>
      </c>
      <c r="B274" t="s">
        <v>13</v>
      </c>
      <c r="C274">
        <v>4</v>
      </c>
      <c r="D274">
        <v>167.74</v>
      </c>
      <c r="E274">
        <v>633.29</v>
      </c>
      <c r="F274">
        <v>2.61</v>
      </c>
      <c r="G274">
        <v>3763</v>
      </c>
      <c r="H274">
        <v>5.21</v>
      </c>
      <c r="I274">
        <v>1</v>
      </c>
      <c r="J274">
        <v>2021</v>
      </c>
      <c r="K274" t="s">
        <v>41</v>
      </c>
      <c r="L274" t="s">
        <v>23</v>
      </c>
      <c r="M274" t="str">
        <f>IF(J274&gt;2010,"Yes","No")</f>
        <v>Yes</v>
      </c>
      <c r="N274">
        <f>F274/D274</f>
        <v>1.5559794920710622E-2</v>
      </c>
      <c r="O274">
        <f>E274/D274</f>
        <v>3.7754262549183255</v>
      </c>
    </row>
    <row r="275" spans="1:15" x14ac:dyDescent="0.3">
      <c r="A275" t="s">
        <v>292</v>
      </c>
      <c r="B275" t="s">
        <v>17</v>
      </c>
      <c r="C275">
        <v>1</v>
      </c>
      <c r="D275">
        <v>168.17</v>
      </c>
      <c r="E275">
        <v>1579.08</v>
      </c>
      <c r="F275">
        <v>68.2</v>
      </c>
      <c r="G275">
        <v>3993</v>
      </c>
      <c r="H275">
        <v>5.47</v>
      </c>
      <c r="I275">
        <v>1</v>
      </c>
      <c r="J275">
        <v>2014</v>
      </c>
      <c r="K275" t="s">
        <v>18</v>
      </c>
      <c r="L275" t="s">
        <v>26</v>
      </c>
      <c r="M275" t="str">
        <f>IF(J275&gt;2010,"Yes","No")</f>
        <v>Yes</v>
      </c>
      <c r="N275">
        <f>F275/D275</f>
        <v>0.40554201106023674</v>
      </c>
      <c r="O275">
        <f>E275/D275</f>
        <v>9.3897841469941135</v>
      </c>
    </row>
    <row r="276" spans="1:15" x14ac:dyDescent="0.3">
      <c r="A276" t="s">
        <v>153</v>
      </c>
      <c r="B276" t="s">
        <v>34</v>
      </c>
      <c r="C276">
        <v>2</v>
      </c>
      <c r="D276">
        <v>168.42</v>
      </c>
      <c r="E276">
        <v>1313.48</v>
      </c>
      <c r="F276">
        <v>30.94</v>
      </c>
      <c r="G276">
        <v>4981</v>
      </c>
      <c r="H276">
        <v>1.67</v>
      </c>
      <c r="I276">
        <v>1</v>
      </c>
      <c r="J276">
        <v>2000</v>
      </c>
      <c r="K276" t="s">
        <v>41</v>
      </c>
      <c r="L276" t="s">
        <v>15</v>
      </c>
      <c r="M276" t="str">
        <f>IF(J276&gt;2010,"Yes","No")</f>
        <v>No</v>
      </c>
      <c r="N276">
        <f>F276/D276</f>
        <v>0.1837073981712386</v>
      </c>
      <c r="O276">
        <f>E276/D276</f>
        <v>7.7988362427265177</v>
      </c>
    </row>
    <row r="277" spans="1:15" x14ac:dyDescent="0.3">
      <c r="A277" t="s">
        <v>356</v>
      </c>
      <c r="B277" t="s">
        <v>13</v>
      </c>
      <c r="C277">
        <v>2</v>
      </c>
      <c r="D277">
        <v>169.04</v>
      </c>
      <c r="E277">
        <v>1328.25</v>
      </c>
      <c r="F277">
        <v>34.11</v>
      </c>
      <c r="G277">
        <v>4498</v>
      </c>
      <c r="H277">
        <v>5.04</v>
      </c>
      <c r="I277">
        <v>1</v>
      </c>
      <c r="J277">
        <v>2001</v>
      </c>
      <c r="K277" t="s">
        <v>28</v>
      </c>
      <c r="L277" t="s">
        <v>15</v>
      </c>
      <c r="M277" t="str">
        <f>IF(J277&gt;2010,"Yes","No")</f>
        <v>No</v>
      </c>
      <c r="N277">
        <f>F277/D277</f>
        <v>0.20178655939422621</v>
      </c>
      <c r="O277">
        <f>E277/D277</f>
        <v>7.8576076668244204</v>
      </c>
    </row>
    <row r="278" spans="1:15" x14ac:dyDescent="0.3">
      <c r="A278" t="s">
        <v>38</v>
      </c>
      <c r="B278" t="s">
        <v>39</v>
      </c>
      <c r="C278">
        <v>5</v>
      </c>
      <c r="D278">
        <v>169.95</v>
      </c>
      <c r="E278">
        <v>720.54</v>
      </c>
      <c r="F278">
        <v>17.920000000000002</v>
      </c>
      <c r="G278">
        <v>1262</v>
      </c>
      <c r="H278">
        <v>4.87</v>
      </c>
      <c r="I278">
        <v>0</v>
      </c>
      <c r="J278">
        <v>2014</v>
      </c>
      <c r="K278" t="s">
        <v>18</v>
      </c>
      <c r="L278" t="s">
        <v>23</v>
      </c>
      <c r="M278" t="str">
        <f>IF(J278&gt;2010,"Yes","No")</f>
        <v>Yes</v>
      </c>
      <c r="N278">
        <f>F278/D278</f>
        <v>0.10544277728743749</v>
      </c>
      <c r="O278">
        <f>E278/D278</f>
        <v>4.2397175639894087</v>
      </c>
    </row>
    <row r="279" spans="1:15" x14ac:dyDescent="0.3">
      <c r="A279" t="s">
        <v>398</v>
      </c>
      <c r="B279" t="s">
        <v>17</v>
      </c>
      <c r="C279">
        <v>5</v>
      </c>
      <c r="D279">
        <v>171.49</v>
      </c>
      <c r="E279">
        <v>671.73</v>
      </c>
      <c r="F279">
        <v>26.97</v>
      </c>
      <c r="G279">
        <v>977</v>
      </c>
      <c r="H279">
        <v>2.79</v>
      </c>
      <c r="I279">
        <v>0</v>
      </c>
      <c r="J279">
        <v>2018</v>
      </c>
      <c r="K279" t="s">
        <v>41</v>
      </c>
      <c r="L279" t="s">
        <v>23</v>
      </c>
      <c r="M279" t="str">
        <f>IF(J279&gt;2010,"Yes","No")</f>
        <v>Yes</v>
      </c>
      <c r="N279">
        <f>F279/D279</f>
        <v>0.15726864540206426</v>
      </c>
      <c r="O279">
        <f>E279/D279</f>
        <v>3.9170214006647619</v>
      </c>
    </row>
    <row r="280" spans="1:15" x14ac:dyDescent="0.3">
      <c r="A280" t="s">
        <v>261</v>
      </c>
      <c r="B280" t="s">
        <v>21</v>
      </c>
      <c r="C280">
        <v>5</v>
      </c>
      <c r="D280">
        <v>171.61</v>
      </c>
      <c r="E280">
        <v>1016.6</v>
      </c>
      <c r="F280">
        <v>91.83</v>
      </c>
      <c r="G280">
        <v>4454</v>
      </c>
      <c r="H280">
        <v>9.26</v>
      </c>
      <c r="I280">
        <v>0</v>
      </c>
      <c r="J280">
        <v>2010</v>
      </c>
      <c r="K280" t="s">
        <v>32</v>
      </c>
      <c r="L280" t="s">
        <v>15</v>
      </c>
      <c r="M280" t="str">
        <f>IF(J280&gt;2010,"Yes","No")</f>
        <v>No</v>
      </c>
      <c r="N280">
        <f>F280/D280</f>
        <v>0.53510867665054473</v>
      </c>
      <c r="O280">
        <f>E280/D280</f>
        <v>5.9238972087873663</v>
      </c>
    </row>
    <row r="281" spans="1:15" x14ac:dyDescent="0.3">
      <c r="A281" t="s">
        <v>159</v>
      </c>
      <c r="B281" t="s">
        <v>75</v>
      </c>
      <c r="C281">
        <v>4</v>
      </c>
      <c r="D281">
        <v>171.94</v>
      </c>
      <c r="E281">
        <v>2165.9899999999998</v>
      </c>
      <c r="F281">
        <v>41.86</v>
      </c>
      <c r="G281">
        <v>2339</v>
      </c>
      <c r="H281">
        <v>8.52</v>
      </c>
      <c r="I281">
        <v>0</v>
      </c>
      <c r="J281">
        <v>1991</v>
      </c>
      <c r="K281" t="s">
        <v>14</v>
      </c>
      <c r="L281" t="s">
        <v>15</v>
      </c>
      <c r="M281" t="str">
        <f>IF(J281&gt;2010,"Yes","No")</f>
        <v>No</v>
      </c>
      <c r="N281">
        <f>F281/D281</f>
        <v>0.24345701989065954</v>
      </c>
      <c r="O281">
        <f>E281/D281</f>
        <v>12.597359544026984</v>
      </c>
    </row>
    <row r="282" spans="1:15" x14ac:dyDescent="0.3">
      <c r="A282" t="s">
        <v>72</v>
      </c>
      <c r="B282" t="s">
        <v>21</v>
      </c>
      <c r="C282">
        <v>5</v>
      </c>
      <c r="D282">
        <v>172.2</v>
      </c>
      <c r="E282">
        <v>2303.23</v>
      </c>
      <c r="F282">
        <v>80.16</v>
      </c>
      <c r="G282">
        <v>1444</v>
      </c>
      <c r="H282">
        <v>9.0500000000000007</v>
      </c>
      <c r="I282">
        <v>1</v>
      </c>
      <c r="J282">
        <v>2005</v>
      </c>
      <c r="K282" t="s">
        <v>41</v>
      </c>
      <c r="L282" t="s">
        <v>15</v>
      </c>
      <c r="M282" t="str">
        <f>IF(J282&gt;2010,"Yes","No")</f>
        <v>No</v>
      </c>
      <c r="N282">
        <f>F282/D282</f>
        <v>0.46550522648083625</v>
      </c>
      <c r="O282">
        <f>E282/D282</f>
        <v>13.375319396051104</v>
      </c>
    </row>
    <row r="283" spans="1:15" x14ac:dyDescent="0.3">
      <c r="A283" t="s">
        <v>498</v>
      </c>
      <c r="B283" t="s">
        <v>21</v>
      </c>
      <c r="C283">
        <v>3</v>
      </c>
      <c r="D283">
        <v>174.03</v>
      </c>
      <c r="E283">
        <v>1800.04</v>
      </c>
      <c r="F283">
        <v>59.07</v>
      </c>
      <c r="G283">
        <v>1301</v>
      </c>
      <c r="H283">
        <v>5.5</v>
      </c>
      <c r="I283">
        <v>1</v>
      </c>
      <c r="J283">
        <v>2022</v>
      </c>
      <c r="K283" t="s">
        <v>32</v>
      </c>
      <c r="L283" t="s">
        <v>15</v>
      </c>
      <c r="M283" t="str">
        <f>IF(J283&gt;2010,"Yes","No")</f>
        <v>Yes</v>
      </c>
      <c r="N283">
        <f>F283/D283</f>
        <v>0.33942423720048265</v>
      </c>
      <c r="O283">
        <f>E283/D283</f>
        <v>10.343274148135379</v>
      </c>
    </row>
    <row r="284" spans="1:15" x14ac:dyDescent="0.3">
      <c r="A284" t="s">
        <v>180</v>
      </c>
      <c r="B284" t="s">
        <v>13</v>
      </c>
      <c r="C284">
        <v>2</v>
      </c>
      <c r="D284">
        <v>174.44</v>
      </c>
      <c r="E284">
        <v>2135.0300000000002</v>
      </c>
      <c r="F284">
        <v>29.13</v>
      </c>
      <c r="G284">
        <v>4119</v>
      </c>
      <c r="H284">
        <v>8</v>
      </c>
      <c r="I284">
        <v>1</v>
      </c>
      <c r="J284">
        <v>2006</v>
      </c>
      <c r="K284" t="s">
        <v>14</v>
      </c>
      <c r="L284" t="s">
        <v>15</v>
      </c>
      <c r="M284" t="str">
        <f>IF(J284&gt;2010,"Yes","No")</f>
        <v>No</v>
      </c>
      <c r="N284">
        <f>F284/D284</f>
        <v>0.16699151570740656</v>
      </c>
      <c r="O284">
        <f>E284/D284</f>
        <v>12.239337307956893</v>
      </c>
    </row>
    <row r="285" spans="1:15" x14ac:dyDescent="0.3">
      <c r="A285" t="s">
        <v>518</v>
      </c>
      <c r="B285" t="s">
        <v>34</v>
      </c>
      <c r="C285">
        <v>5</v>
      </c>
      <c r="D285">
        <v>176.57</v>
      </c>
      <c r="E285">
        <v>1987.23</v>
      </c>
      <c r="F285">
        <v>51.77</v>
      </c>
      <c r="G285">
        <v>2473</v>
      </c>
      <c r="H285">
        <v>8.44</v>
      </c>
      <c r="I285">
        <v>1</v>
      </c>
      <c r="J285">
        <v>2005</v>
      </c>
      <c r="K285" t="s">
        <v>14</v>
      </c>
      <c r="L285" t="s">
        <v>15</v>
      </c>
      <c r="M285" t="str">
        <f>IF(J285&gt;2010,"Yes","No")</f>
        <v>No</v>
      </c>
      <c r="N285">
        <f>F285/D285</f>
        <v>0.29319816503369772</v>
      </c>
      <c r="O285">
        <f>E285/D285</f>
        <v>11.254629891827605</v>
      </c>
    </row>
    <row r="286" spans="1:15" x14ac:dyDescent="0.3">
      <c r="A286" t="s">
        <v>472</v>
      </c>
      <c r="B286" t="s">
        <v>17</v>
      </c>
      <c r="C286">
        <v>3</v>
      </c>
      <c r="D286">
        <v>176.62</v>
      </c>
      <c r="E286">
        <v>1201.56</v>
      </c>
      <c r="F286">
        <v>11.66</v>
      </c>
      <c r="G286">
        <v>497</v>
      </c>
      <c r="H286">
        <v>7.17</v>
      </c>
      <c r="I286">
        <v>0</v>
      </c>
      <c r="J286">
        <v>2015</v>
      </c>
      <c r="K286" t="s">
        <v>41</v>
      </c>
      <c r="L286" t="s">
        <v>23</v>
      </c>
      <c r="M286" t="str">
        <f>IF(J286&gt;2010,"Yes","No")</f>
        <v>Yes</v>
      </c>
      <c r="N286">
        <f>F286/D286</f>
        <v>6.6017438568678519E-2</v>
      </c>
      <c r="O286">
        <f>E286/D286</f>
        <v>6.8030800588834781</v>
      </c>
    </row>
    <row r="287" spans="1:15" x14ac:dyDescent="0.3">
      <c r="A287" t="s">
        <v>135</v>
      </c>
      <c r="B287" t="s">
        <v>21</v>
      </c>
      <c r="C287">
        <v>5</v>
      </c>
      <c r="D287">
        <v>176.68</v>
      </c>
      <c r="E287">
        <v>1443.54</v>
      </c>
      <c r="F287">
        <v>31.59</v>
      </c>
      <c r="G287">
        <v>4804</v>
      </c>
      <c r="H287">
        <v>4.2</v>
      </c>
      <c r="I287">
        <v>1</v>
      </c>
      <c r="J287">
        <v>2007</v>
      </c>
      <c r="K287" t="s">
        <v>28</v>
      </c>
      <c r="L287" t="s">
        <v>15</v>
      </c>
      <c r="M287" t="str">
        <f>IF(J287&gt;2010,"Yes","No")</f>
        <v>No</v>
      </c>
      <c r="N287">
        <f>F287/D287</f>
        <v>0.1787978265791261</v>
      </c>
      <c r="O287">
        <f>E287/D287</f>
        <v>8.1703645007923917</v>
      </c>
    </row>
    <row r="288" spans="1:15" x14ac:dyDescent="0.3">
      <c r="A288" t="s">
        <v>506</v>
      </c>
      <c r="B288" t="s">
        <v>21</v>
      </c>
      <c r="C288">
        <v>2</v>
      </c>
      <c r="D288">
        <v>176.73</v>
      </c>
      <c r="E288">
        <v>1713.66</v>
      </c>
      <c r="F288">
        <v>1.33</v>
      </c>
      <c r="G288">
        <v>12</v>
      </c>
      <c r="H288">
        <v>4.5199999999999996</v>
      </c>
      <c r="I288">
        <v>1</v>
      </c>
      <c r="J288">
        <v>1996</v>
      </c>
      <c r="K288" t="s">
        <v>14</v>
      </c>
      <c r="L288" t="s">
        <v>15</v>
      </c>
      <c r="M288" t="str">
        <f>IF(J288&gt;2010,"Yes","No")</f>
        <v>No</v>
      </c>
      <c r="N288">
        <f>F288/D288</f>
        <v>7.5256040287444131E-3</v>
      </c>
      <c r="O288">
        <f>E288/D288</f>
        <v>9.696486165336955</v>
      </c>
    </row>
    <row r="289" spans="1:15" x14ac:dyDescent="0.3">
      <c r="A289" t="s">
        <v>202</v>
      </c>
      <c r="B289" t="s">
        <v>75</v>
      </c>
      <c r="C289">
        <v>1</v>
      </c>
      <c r="D289">
        <v>176.77</v>
      </c>
      <c r="E289">
        <v>1870.97</v>
      </c>
      <c r="F289">
        <v>9.51</v>
      </c>
      <c r="G289">
        <v>4647</v>
      </c>
      <c r="H289">
        <v>8.18</v>
      </c>
      <c r="I289">
        <v>1</v>
      </c>
      <c r="J289">
        <v>2016</v>
      </c>
      <c r="K289" t="s">
        <v>14</v>
      </c>
      <c r="L289" t="s">
        <v>23</v>
      </c>
      <c r="M289" t="str">
        <f>IF(J289&gt;2010,"Yes","No")</f>
        <v>Yes</v>
      </c>
      <c r="N289">
        <f>F289/D289</f>
        <v>5.379872150251739E-2</v>
      </c>
      <c r="O289">
        <f>E289/D289</f>
        <v>10.584205464728177</v>
      </c>
    </row>
    <row r="290" spans="1:15" x14ac:dyDescent="0.3">
      <c r="A290" t="s">
        <v>192</v>
      </c>
      <c r="B290" t="s">
        <v>25</v>
      </c>
      <c r="C290">
        <v>3</v>
      </c>
      <c r="D290">
        <v>176.94</v>
      </c>
      <c r="E290">
        <v>1030.29</v>
      </c>
      <c r="F290">
        <v>1.89</v>
      </c>
      <c r="G290">
        <v>1577</v>
      </c>
      <c r="H290">
        <v>1.27</v>
      </c>
      <c r="I290">
        <v>0</v>
      </c>
      <c r="J290">
        <v>2005</v>
      </c>
      <c r="K290" t="s">
        <v>41</v>
      </c>
      <c r="L290" t="s">
        <v>15</v>
      </c>
      <c r="M290" t="str">
        <f>IF(J290&gt;2010,"Yes","No")</f>
        <v>No</v>
      </c>
      <c r="N290">
        <f>F290/D290</f>
        <v>1.0681586978636826E-2</v>
      </c>
      <c r="O290">
        <f>E290/D290</f>
        <v>5.8228212953543572</v>
      </c>
    </row>
    <row r="291" spans="1:15" x14ac:dyDescent="0.3">
      <c r="A291" t="s">
        <v>381</v>
      </c>
      <c r="B291" t="s">
        <v>30</v>
      </c>
      <c r="C291">
        <v>4</v>
      </c>
      <c r="D291">
        <v>177.28</v>
      </c>
      <c r="E291">
        <v>1594.1</v>
      </c>
      <c r="F291">
        <v>13.84</v>
      </c>
      <c r="G291">
        <v>3871</v>
      </c>
      <c r="H291">
        <v>8.2799999999999994</v>
      </c>
      <c r="I291">
        <v>0</v>
      </c>
      <c r="J291">
        <v>2018</v>
      </c>
      <c r="K291" t="s">
        <v>18</v>
      </c>
      <c r="L291" t="s">
        <v>15</v>
      </c>
      <c r="M291" t="str">
        <f>IF(J291&gt;2010,"Yes","No")</f>
        <v>Yes</v>
      </c>
      <c r="N291">
        <f>F291/D291</f>
        <v>7.8068592057761732E-2</v>
      </c>
      <c r="O291">
        <f>E291/D291</f>
        <v>8.9919900722021655</v>
      </c>
    </row>
    <row r="292" spans="1:15" x14ac:dyDescent="0.3">
      <c r="A292" t="s">
        <v>497</v>
      </c>
      <c r="B292" t="s">
        <v>30</v>
      </c>
      <c r="C292">
        <v>3</v>
      </c>
      <c r="D292">
        <v>178.08</v>
      </c>
      <c r="E292">
        <v>2122.91</v>
      </c>
      <c r="F292">
        <v>86.19</v>
      </c>
      <c r="G292">
        <v>3430</v>
      </c>
      <c r="H292">
        <v>8.49</v>
      </c>
      <c r="I292">
        <v>1</v>
      </c>
      <c r="J292">
        <v>2016</v>
      </c>
      <c r="K292" t="s">
        <v>18</v>
      </c>
      <c r="L292" t="s">
        <v>15</v>
      </c>
      <c r="M292" t="str">
        <f>IF(J292&gt;2010,"Yes","No")</f>
        <v>Yes</v>
      </c>
      <c r="N292">
        <f>F292/D292</f>
        <v>0.48399595687331531</v>
      </c>
      <c r="O292">
        <f>E292/D292</f>
        <v>11.921102875112307</v>
      </c>
    </row>
    <row r="293" spans="1:15" x14ac:dyDescent="0.3">
      <c r="A293" t="s">
        <v>440</v>
      </c>
      <c r="B293" t="s">
        <v>17</v>
      </c>
      <c r="C293">
        <v>4</v>
      </c>
      <c r="D293">
        <v>178.19</v>
      </c>
      <c r="E293">
        <v>1961.55</v>
      </c>
      <c r="F293">
        <v>88.24</v>
      </c>
      <c r="G293">
        <v>1999</v>
      </c>
      <c r="H293">
        <v>5.76</v>
      </c>
      <c r="I293">
        <v>1</v>
      </c>
      <c r="J293">
        <v>2004</v>
      </c>
      <c r="K293" t="s">
        <v>28</v>
      </c>
      <c r="L293" t="s">
        <v>15</v>
      </c>
      <c r="M293" t="str">
        <f>IF(J293&gt;2010,"Yes","No")</f>
        <v>No</v>
      </c>
      <c r="N293">
        <f>F293/D293</f>
        <v>0.49520175094000785</v>
      </c>
      <c r="O293">
        <f>E293/D293</f>
        <v>11.008193501318816</v>
      </c>
    </row>
    <row r="294" spans="1:15" x14ac:dyDescent="0.3">
      <c r="A294" t="s">
        <v>320</v>
      </c>
      <c r="B294" t="s">
        <v>17</v>
      </c>
      <c r="C294">
        <v>2</v>
      </c>
      <c r="D294">
        <v>178.52</v>
      </c>
      <c r="E294">
        <v>2199.4899999999998</v>
      </c>
      <c r="F294">
        <v>41.33</v>
      </c>
      <c r="G294">
        <v>3242</v>
      </c>
      <c r="H294">
        <v>0.39</v>
      </c>
      <c r="I294">
        <v>0</v>
      </c>
      <c r="J294">
        <v>2003</v>
      </c>
      <c r="K294" t="s">
        <v>32</v>
      </c>
      <c r="L294" t="s">
        <v>15</v>
      </c>
      <c r="M294" t="str">
        <f>IF(J294&gt;2010,"Yes","No")</f>
        <v>No</v>
      </c>
      <c r="N294">
        <f>F294/D294</f>
        <v>0.23151467622675329</v>
      </c>
      <c r="O294">
        <f>E294/D294</f>
        <v>12.320692359399505</v>
      </c>
    </row>
    <row r="295" spans="1:15" x14ac:dyDescent="0.3">
      <c r="A295" t="s">
        <v>421</v>
      </c>
      <c r="B295" t="s">
        <v>17</v>
      </c>
      <c r="C295">
        <v>2</v>
      </c>
      <c r="D295">
        <v>178.64</v>
      </c>
      <c r="E295">
        <v>1626.15</v>
      </c>
      <c r="F295">
        <v>43.91</v>
      </c>
      <c r="G295">
        <v>635</v>
      </c>
      <c r="H295">
        <v>5.37</v>
      </c>
      <c r="I295">
        <v>1</v>
      </c>
      <c r="J295">
        <v>2008</v>
      </c>
      <c r="K295" t="s">
        <v>41</v>
      </c>
      <c r="L295" t="s">
        <v>15</v>
      </c>
      <c r="M295" t="str">
        <f>IF(J295&gt;2010,"Yes","No")</f>
        <v>No</v>
      </c>
      <c r="N295">
        <f>F295/D295</f>
        <v>0.24580161218092253</v>
      </c>
      <c r="O295">
        <f>E295/D295</f>
        <v>9.1029444693237807</v>
      </c>
    </row>
    <row r="296" spans="1:15" x14ac:dyDescent="0.3">
      <c r="A296" t="s">
        <v>224</v>
      </c>
      <c r="B296" t="s">
        <v>13</v>
      </c>
      <c r="C296">
        <v>4</v>
      </c>
      <c r="D296">
        <v>179.38</v>
      </c>
      <c r="E296">
        <v>1866.6</v>
      </c>
      <c r="F296">
        <v>55.83</v>
      </c>
      <c r="G296">
        <v>4262</v>
      </c>
      <c r="H296">
        <v>3.4</v>
      </c>
      <c r="I296">
        <v>0</v>
      </c>
      <c r="J296">
        <v>1998</v>
      </c>
      <c r="K296" t="s">
        <v>18</v>
      </c>
      <c r="L296" t="s">
        <v>23</v>
      </c>
      <c r="M296" t="str">
        <f>IF(J296&gt;2010,"Yes","No")</f>
        <v>No</v>
      </c>
      <c r="N296">
        <f>F296/D296</f>
        <v>0.31123871111606644</v>
      </c>
      <c r="O296">
        <f>E296/D296</f>
        <v>10.405842345857955</v>
      </c>
    </row>
    <row r="297" spans="1:15" x14ac:dyDescent="0.3">
      <c r="A297" t="s">
        <v>433</v>
      </c>
      <c r="B297" t="s">
        <v>34</v>
      </c>
      <c r="C297">
        <v>2</v>
      </c>
      <c r="D297">
        <v>179.44</v>
      </c>
      <c r="E297">
        <v>1451.95</v>
      </c>
      <c r="F297">
        <v>67.569999999999993</v>
      </c>
      <c r="G297">
        <v>2414</v>
      </c>
      <c r="H297">
        <v>2.2000000000000002</v>
      </c>
      <c r="I297">
        <v>0</v>
      </c>
      <c r="J297">
        <v>2012</v>
      </c>
      <c r="K297" t="s">
        <v>14</v>
      </c>
      <c r="L297" t="s">
        <v>23</v>
      </c>
      <c r="M297" t="str">
        <f>IF(J297&gt;2010,"Yes","No")</f>
        <v>Yes</v>
      </c>
      <c r="N297">
        <f>F297/D297</f>
        <v>0.37656041016495762</v>
      </c>
      <c r="O297">
        <f>E297/D297</f>
        <v>8.091562639322337</v>
      </c>
    </row>
    <row r="298" spans="1:15" x14ac:dyDescent="0.3">
      <c r="A298" t="s">
        <v>476</v>
      </c>
      <c r="B298" t="s">
        <v>39</v>
      </c>
      <c r="C298">
        <v>2</v>
      </c>
      <c r="D298">
        <v>179.52</v>
      </c>
      <c r="E298">
        <v>1908.81</v>
      </c>
      <c r="F298">
        <v>74.12</v>
      </c>
      <c r="G298">
        <v>3828</v>
      </c>
      <c r="H298">
        <v>7.55</v>
      </c>
      <c r="I298">
        <v>0</v>
      </c>
      <c r="J298">
        <v>2022</v>
      </c>
      <c r="K298" t="s">
        <v>28</v>
      </c>
      <c r="L298" t="s">
        <v>15</v>
      </c>
      <c r="M298" t="str">
        <f>IF(J298&gt;2010,"Yes","No")</f>
        <v>Yes</v>
      </c>
      <c r="N298">
        <f>F298/D298</f>
        <v>0.4128787878787879</v>
      </c>
      <c r="O298">
        <f>E298/D298</f>
        <v>10.632854278074866</v>
      </c>
    </row>
    <row r="299" spans="1:15" x14ac:dyDescent="0.3">
      <c r="A299" t="s">
        <v>107</v>
      </c>
      <c r="B299" t="s">
        <v>34</v>
      </c>
      <c r="C299">
        <v>3</v>
      </c>
      <c r="D299">
        <v>179.69</v>
      </c>
      <c r="E299">
        <v>1754</v>
      </c>
      <c r="F299">
        <v>90.4</v>
      </c>
      <c r="G299">
        <v>1145</v>
      </c>
      <c r="H299">
        <v>3.69</v>
      </c>
      <c r="I299">
        <v>1</v>
      </c>
      <c r="J299">
        <v>1998</v>
      </c>
      <c r="K299" t="s">
        <v>41</v>
      </c>
      <c r="L299" t="s">
        <v>23</v>
      </c>
      <c r="M299" t="str">
        <f>IF(J299&gt;2010,"Yes","No")</f>
        <v>No</v>
      </c>
      <c r="N299">
        <f>F299/D299</f>
        <v>0.50308865267961489</v>
      </c>
      <c r="O299">
        <f>E299/D299</f>
        <v>9.761255495575714</v>
      </c>
    </row>
    <row r="300" spans="1:15" x14ac:dyDescent="0.3">
      <c r="A300" t="s">
        <v>373</v>
      </c>
      <c r="B300" t="s">
        <v>17</v>
      </c>
      <c r="C300">
        <v>3</v>
      </c>
      <c r="D300">
        <v>179.7</v>
      </c>
      <c r="E300">
        <v>2338.19</v>
      </c>
      <c r="F300">
        <v>86.87</v>
      </c>
      <c r="G300">
        <v>4219</v>
      </c>
      <c r="H300">
        <v>4.1500000000000004</v>
      </c>
      <c r="I300">
        <v>0</v>
      </c>
      <c r="J300">
        <v>2017</v>
      </c>
      <c r="K300" t="s">
        <v>28</v>
      </c>
      <c r="L300" t="s">
        <v>15</v>
      </c>
      <c r="M300" t="str">
        <f>IF(J300&gt;2010,"Yes","No")</f>
        <v>Yes</v>
      </c>
      <c r="N300">
        <f>F300/D300</f>
        <v>0.48341680578742352</v>
      </c>
      <c r="O300">
        <f>E300/D300</f>
        <v>13.011630495269895</v>
      </c>
    </row>
    <row r="301" spans="1:15" x14ac:dyDescent="0.3">
      <c r="A301" t="s">
        <v>507</v>
      </c>
      <c r="B301" t="s">
        <v>39</v>
      </c>
      <c r="C301">
        <v>3</v>
      </c>
      <c r="D301">
        <v>179.81</v>
      </c>
      <c r="E301">
        <v>2290.96</v>
      </c>
      <c r="F301">
        <v>37.07</v>
      </c>
      <c r="G301">
        <v>2530</v>
      </c>
      <c r="H301">
        <v>0.79</v>
      </c>
      <c r="I301">
        <v>0</v>
      </c>
      <c r="J301">
        <v>2019</v>
      </c>
      <c r="K301" t="s">
        <v>32</v>
      </c>
      <c r="L301" t="s">
        <v>15</v>
      </c>
      <c r="M301" t="str">
        <f>IF(J301&gt;2010,"Yes","No")</f>
        <v>Yes</v>
      </c>
      <c r="N301">
        <f>F301/D301</f>
        <v>0.20616205995217174</v>
      </c>
      <c r="O301">
        <f>E301/D301</f>
        <v>12.7410043935265</v>
      </c>
    </row>
    <row r="302" spans="1:15" x14ac:dyDescent="0.3">
      <c r="A302" t="s">
        <v>205</v>
      </c>
      <c r="B302" t="s">
        <v>21</v>
      </c>
      <c r="C302">
        <v>2</v>
      </c>
      <c r="D302">
        <v>180.44</v>
      </c>
      <c r="E302">
        <v>1135.78</v>
      </c>
      <c r="F302">
        <v>39.130000000000003</v>
      </c>
      <c r="G302">
        <v>3611</v>
      </c>
      <c r="H302">
        <v>3.2</v>
      </c>
      <c r="I302">
        <v>0</v>
      </c>
      <c r="J302">
        <v>2014</v>
      </c>
      <c r="K302" t="s">
        <v>18</v>
      </c>
      <c r="L302" t="s">
        <v>15</v>
      </c>
      <c r="M302" t="str">
        <f>IF(J302&gt;2010,"Yes","No")</f>
        <v>Yes</v>
      </c>
      <c r="N302">
        <f>F302/D302</f>
        <v>0.21685878962536026</v>
      </c>
      <c r="O302">
        <f>E302/D302</f>
        <v>6.2945023276435377</v>
      </c>
    </row>
    <row r="303" spans="1:15" x14ac:dyDescent="0.3">
      <c r="A303" t="s">
        <v>488</v>
      </c>
      <c r="B303" t="s">
        <v>25</v>
      </c>
      <c r="C303">
        <v>3</v>
      </c>
      <c r="D303">
        <v>180.76</v>
      </c>
      <c r="E303">
        <v>776.42</v>
      </c>
      <c r="F303">
        <v>21.68</v>
      </c>
      <c r="G303">
        <v>361</v>
      </c>
      <c r="H303">
        <v>4.16</v>
      </c>
      <c r="I303">
        <v>0</v>
      </c>
      <c r="J303">
        <v>2012</v>
      </c>
      <c r="K303" t="s">
        <v>28</v>
      </c>
      <c r="L303" t="s">
        <v>23</v>
      </c>
      <c r="M303" t="str">
        <f>IF(J303&gt;2010,"Yes","No")</f>
        <v>Yes</v>
      </c>
      <c r="N303">
        <f>F303/D303</f>
        <v>0.11993803938924541</v>
      </c>
      <c r="O303">
        <f>E303/D303</f>
        <v>4.2953086966142955</v>
      </c>
    </row>
    <row r="304" spans="1:15" x14ac:dyDescent="0.3">
      <c r="A304" t="s">
        <v>523</v>
      </c>
      <c r="B304" t="s">
        <v>17</v>
      </c>
      <c r="C304">
        <v>2</v>
      </c>
      <c r="D304">
        <v>181.86</v>
      </c>
      <c r="E304">
        <v>2378.65</v>
      </c>
      <c r="F304">
        <v>59.64</v>
      </c>
      <c r="G304">
        <v>3331</v>
      </c>
      <c r="H304">
        <v>0.57999999999999996</v>
      </c>
      <c r="I304">
        <v>1</v>
      </c>
      <c r="J304">
        <v>1993</v>
      </c>
      <c r="K304" t="s">
        <v>14</v>
      </c>
      <c r="L304" t="s">
        <v>15</v>
      </c>
      <c r="M304" t="str">
        <f>IF(J304&gt;2010,"Yes","No")</f>
        <v>No</v>
      </c>
      <c r="N304">
        <f>F304/D304</f>
        <v>0.32794457274826788</v>
      </c>
      <c r="O304">
        <f>E304/D304</f>
        <v>13.079566699659077</v>
      </c>
    </row>
    <row r="305" spans="1:15" x14ac:dyDescent="0.3">
      <c r="A305" t="s">
        <v>475</v>
      </c>
      <c r="B305" t="s">
        <v>21</v>
      </c>
      <c r="C305">
        <v>3</v>
      </c>
      <c r="D305">
        <v>182.05</v>
      </c>
      <c r="E305">
        <v>1734.61</v>
      </c>
      <c r="F305">
        <v>63.82</v>
      </c>
      <c r="G305">
        <v>3237</v>
      </c>
      <c r="H305">
        <v>7</v>
      </c>
      <c r="I305">
        <v>0</v>
      </c>
      <c r="J305">
        <v>2008</v>
      </c>
      <c r="K305" t="s">
        <v>18</v>
      </c>
      <c r="L305" t="s">
        <v>23</v>
      </c>
      <c r="M305" t="str">
        <f>IF(J305&gt;2010,"Yes","No")</f>
        <v>No</v>
      </c>
      <c r="N305">
        <f>F305/D305</f>
        <v>0.35056303213402912</v>
      </c>
      <c r="O305">
        <f>E305/D305</f>
        <v>9.5282065366657509</v>
      </c>
    </row>
    <row r="306" spans="1:15" x14ac:dyDescent="0.3">
      <c r="A306" t="s">
        <v>374</v>
      </c>
      <c r="B306" t="s">
        <v>34</v>
      </c>
      <c r="C306">
        <v>3</v>
      </c>
      <c r="D306">
        <v>182.39</v>
      </c>
      <c r="E306">
        <v>1924.5</v>
      </c>
      <c r="F306">
        <v>6.56</v>
      </c>
      <c r="G306">
        <v>3232</v>
      </c>
      <c r="H306">
        <v>9.25</v>
      </c>
      <c r="I306">
        <v>0</v>
      </c>
      <c r="J306">
        <v>2008</v>
      </c>
      <c r="K306" t="s">
        <v>28</v>
      </c>
      <c r="L306" t="s">
        <v>15</v>
      </c>
      <c r="M306" t="str">
        <f>IF(J306&gt;2010,"Yes","No")</f>
        <v>No</v>
      </c>
      <c r="N306">
        <f>F306/D306</f>
        <v>3.5966884149350294E-2</v>
      </c>
      <c r="O306">
        <f>E306/D306</f>
        <v>10.55156532704644</v>
      </c>
    </row>
    <row r="307" spans="1:15" x14ac:dyDescent="0.3">
      <c r="A307" t="s">
        <v>88</v>
      </c>
      <c r="B307" t="s">
        <v>75</v>
      </c>
      <c r="C307">
        <v>1</v>
      </c>
      <c r="D307">
        <v>183.32</v>
      </c>
      <c r="E307">
        <v>2735.14</v>
      </c>
      <c r="F307">
        <v>97.97</v>
      </c>
      <c r="G307">
        <v>1139</v>
      </c>
      <c r="H307">
        <v>8.81</v>
      </c>
      <c r="I307">
        <v>1</v>
      </c>
      <c r="J307">
        <v>1996</v>
      </c>
      <c r="K307" t="s">
        <v>28</v>
      </c>
      <c r="L307" t="s">
        <v>15</v>
      </c>
      <c r="M307" t="str">
        <f>IF(J307&gt;2010,"Yes","No")</f>
        <v>No</v>
      </c>
      <c r="N307">
        <f>F307/D307</f>
        <v>0.53442068514073748</v>
      </c>
      <c r="O307">
        <f>E307/D307</f>
        <v>14.920030547676195</v>
      </c>
    </row>
    <row r="308" spans="1:15" x14ac:dyDescent="0.3">
      <c r="A308" t="s">
        <v>429</v>
      </c>
      <c r="B308" t="s">
        <v>75</v>
      </c>
      <c r="C308">
        <v>1</v>
      </c>
      <c r="D308">
        <v>183.87</v>
      </c>
      <c r="E308">
        <v>1460.95</v>
      </c>
      <c r="F308">
        <v>53.21</v>
      </c>
      <c r="G308">
        <v>282</v>
      </c>
      <c r="H308">
        <v>1.3</v>
      </c>
      <c r="I308">
        <v>0</v>
      </c>
      <c r="J308">
        <v>1997</v>
      </c>
      <c r="K308" t="s">
        <v>32</v>
      </c>
      <c r="L308" t="s">
        <v>15</v>
      </c>
      <c r="M308" t="str">
        <f>IF(J308&gt;2010,"Yes","No")</f>
        <v>No</v>
      </c>
      <c r="N308">
        <f>F308/D308</f>
        <v>0.28938924239952141</v>
      </c>
      <c r="O308">
        <f>E308/D308</f>
        <v>7.9455593625931362</v>
      </c>
    </row>
    <row r="309" spans="1:15" x14ac:dyDescent="0.3">
      <c r="A309" t="s">
        <v>423</v>
      </c>
      <c r="B309" t="s">
        <v>75</v>
      </c>
      <c r="C309">
        <v>1</v>
      </c>
      <c r="D309">
        <v>184.08</v>
      </c>
      <c r="E309">
        <v>1572.66</v>
      </c>
      <c r="F309">
        <v>39.74</v>
      </c>
      <c r="G309">
        <v>1852</v>
      </c>
      <c r="H309">
        <v>3.04</v>
      </c>
      <c r="I309">
        <v>1</v>
      </c>
      <c r="J309">
        <v>2002</v>
      </c>
      <c r="K309" t="s">
        <v>14</v>
      </c>
      <c r="L309" t="s">
        <v>15</v>
      </c>
      <c r="M309" t="str">
        <f>IF(J309&gt;2010,"Yes","No")</f>
        <v>No</v>
      </c>
      <c r="N309">
        <f>F309/D309</f>
        <v>0.21588439808778792</v>
      </c>
      <c r="O309">
        <f>E309/D309</f>
        <v>8.5433507170795302</v>
      </c>
    </row>
    <row r="310" spans="1:15" x14ac:dyDescent="0.3">
      <c r="A310" t="s">
        <v>443</v>
      </c>
      <c r="B310" t="s">
        <v>39</v>
      </c>
      <c r="C310">
        <v>1</v>
      </c>
      <c r="D310">
        <v>184.91</v>
      </c>
      <c r="E310">
        <v>1133.23</v>
      </c>
      <c r="F310">
        <v>67.489999999999995</v>
      </c>
      <c r="G310">
        <v>3178</v>
      </c>
      <c r="H310">
        <v>7.56</v>
      </c>
      <c r="I310">
        <v>0</v>
      </c>
      <c r="J310">
        <v>2000</v>
      </c>
      <c r="K310" t="s">
        <v>18</v>
      </c>
      <c r="L310" t="s">
        <v>23</v>
      </c>
      <c r="M310" t="str">
        <f>IF(J310&gt;2010,"Yes","No")</f>
        <v>No</v>
      </c>
      <c r="N310">
        <f>F310/D310</f>
        <v>0.36498837272186468</v>
      </c>
      <c r="O310">
        <f>E310/D310</f>
        <v>6.1285490238494402</v>
      </c>
    </row>
    <row r="311" spans="1:15" x14ac:dyDescent="0.3">
      <c r="A311" t="s">
        <v>422</v>
      </c>
      <c r="B311" t="s">
        <v>75</v>
      </c>
      <c r="C311">
        <v>4</v>
      </c>
      <c r="D311">
        <v>185.17</v>
      </c>
      <c r="E311">
        <v>1416.76</v>
      </c>
      <c r="F311">
        <v>21.93</v>
      </c>
      <c r="G311">
        <v>3721</v>
      </c>
      <c r="H311">
        <v>7.92</v>
      </c>
      <c r="I311">
        <v>0</v>
      </c>
      <c r="J311">
        <v>2016</v>
      </c>
      <c r="K311" t="s">
        <v>14</v>
      </c>
      <c r="L311" t="s">
        <v>15</v>
      </c>
      <c r="M311" t="str">
        <f>IF(J311&gt;2010,"Yes","No")</f>
        <v>Yes</v>
      </c>
      <c r="N311">
        <f>F311/D311</f>
        <v>0.11843171140033483</v>
      </c>
      <c r="O311">
        <f>E311/D311</f>
        <v>7.6511313927742082</v>
      </c>
    </row>
    <row r="312" spans="1:15" x14ac:dyDescent="0.3">
      <c r="A312" t="s">
        <v>232</v>
      </c>
      <c r="B312" t="s">
        <v>17</v>
      </c>
      <c r="C312">
        <v>3</v>
      </c>
      <c r="D312">
        <v>187.07</v>
      </c>
      <c r="E312">
        <v>2088</v>
      </c>
      <c r="F312">
        <v>3.44</v>
      </c>
      <c r="G312">
        <v>978</v>
      </c>
      <c r="H312">
        <v>1.25</v>
      </c>
      <c r="I312">
        <v>0</v>
      </c>
      <c r="J312">
        <v>2011</v>
      </c>
      <c r="K312" t="s">
        <v>32</v>
      </c>
      <c r="L312" t="s">
        <v>15</v>
      </c>
      <c r="M312" t="str">
        <f>IF(J312&gt;2010,"Yes","No")</f>
        <v>Yes</v>
      </c>
      <c r="N312">
        <f>F312/D312</f>
        <v>1.8388838402736942E-2</v>
      </c>
      <c r="O312">
        <f>E312/D312</f>
        <v>11.16159726305661</v>
      </c>
    </row>
    <row r="313" spans="1:15" x14ac:dyDescent="0.3">
      <c r="A313" t="s">
        <v>101</v>
      </c>
      <c r="B313" t="s">
        <v>34</v>
      </c>
      <c r="C313">
        <v>3</v>
      </c>
      <c r="D313">
        <v>187.19</v>
      </c>
      <c r="E313">
        <v>1405.44</v>
      </c>
      <c r="F313">
        <v>48.14</v>
      </c>
      <c r="G313">
        <v>2665</v>
      </c>
      <c r="H313">
        <v>9.32</v>
      </c>
      <c r="I313">
        <v>1</v>
      </c>
      <c r="J313">
        <v>2012</v>
      </c>
      <c r="K313" t="s">
        <v>41</v>
      </c>
      <c r="L313" t="s">
        <v>23</v>
      </c>
      <c r="M313" t="str">
        <f>IF(J313&gt;2010,"Yes","No")</f>
        <v>Yes</v>
      </c>
      <c r="N313">
        <f>F313/D313</f>
        <v>0.25717185747101878</v>
      </c>
      <c r="O313">
        <f>E313/D313</f>
        <v>7.508093381056681</v>
      </c>
    </row>
    <row r="314" spans="1:15" x14ac:dyDescent="0.3">
      <c r="A314" t="s">
        <v>427</v>
      </c>
      <c r="B314" t="s">
        <v>30</v>
      </c>
      <c r="C314">
        <v>3</v>
      </c>
      <c r="D314">
        <v>187.78</v>
      </c>
      <c r="E314">
        <v>2329.62</v>
      </c>
      <c r="F314">
        <v>28.53</v>
      </c>
      <c r="G314">
        <v>3407</v>
      </c>
      <c r="H314">
        <v>7.35</v>
      </c>
      <c r="I314">
        <v>0</v>
      </c>
      <c r="J314">
        <v>2011</v>
      </c>
      <c r="K314" t="s">
        <v>28</v>
      </c>
      <c r="L314" t="s">
        <v>15</v>
      </c>
      <c r="M314" t="str">
        <f>IF(J314&gt;2010,"Yes","No")</f>
        <v>Yes</v>
      </c>
      <c r="N314">
        <f>F314/D314</f>
        <v>0.15193311321759506</v>
      </c>
      <c r="O314">
        <f>E314/D314</f>
        <v>12.406113537117903</v>
      </c>
    </row>
    <row r="315" spans="1:15" x14ac:dyDescent="0.3">
      <c r="A315" t="s">
        <v>466</v>
      </c>
      <c r="B315" t="s">
        <v>39</v>
      </c>
      <c r="C315">
        <v>3</v>
      </c>
      <c r="D315">
        <v>188.82</v>
      </c>
      <c r="E315">
        <v>2669.88</v>
      </c>
      <c r="F315">
        <v>64.650000000000006</v>
      </c>
      <c r="G315">
        <v>1937</v>
      </c>
      <c r="H315">
        <v>6.15</v>
      </c>
      <c r="I315">
        <v>1</v>
      </c>
      <c r="J315">
        <v>1996</v>
      </c>
      <c r="K315" t="s">
        <v>28</v>
      </c>
      <c r="L315" t="s">
        <v>15</v>
      </c>
      <c r="M315" t="str">
        <f>IF(J315&gt;2010,"Yes","No")</f>
        <v>No</v>
      </c>
      <c r="N315">
        <f>F315/D315</f>
        <v>0.34238957737527809</v>
      </c>
      <c r="O315">
        <f>E315/D315</f>
        <v>14.139815697489674</v>
      </c>
    </row>
    <row r="316" spans="1:15" x14ac:dyDescent="0.3">
      <c r="A316" t="s">
        <v>221</v>
      </c>
      <c r="B316" t="s">
        <v>75</v>
      </c>
      <c r="C316">
        <v>4</v>
      </c>
      <c r="D316">
        <v>189.12</v>
      </c>
      <c r="E316">
        <v>1477.83</v>
      </c>
      <c r="F316">
        <v>89.71</v>
      </c>
      <c r="G316">
        <v>2135</v>
      </c>
      <c r="H316">
        <v>2.5499999999999998</v>
      </c>
      <c r="I316">
        <v>0</v>
      </c>
      <c r="J316">
        <v>1995</v>
      </c>
      <c r="K316" t="s">
        <v>18</v>
      </c>
      <c r="L316" t="s">
        <v>15</v>
      </c>
      <c r="M316" t="str">
        <f>IF(J316&gt;2010,"Yes","No")</f>
        <v>No</v>
      </c>
      <c r="N316">
        <f>F316/D316</f>
        <v>0.47435490693739418</v>
      </c>
      <c r="O316">
        <f>E316/D316</f>
        <v>7.8142449238578671</v>
      </c>
    </row>
    <row r="317" spans="1:15" x14ac:dyDescent="0.3">
      <c r="A317" t="s">
        <v>489</v>
      </c>
      <c r="B317" t="s">
        <v>25</v>
      </c>
      <c r="C317">
        <v>2</v>
      </c>
      <c r="D317">
        <v>189.95</v>
      </c>
      <c r="E317">
        <v>2131.92</v>
      </c>
      <c r="F317">
        <v>46.71</v>
      </c>
      <c r="G317">
        <v>874</v>
      </c>
      <c r="H317">
        <v>6.51</v>
      </c>
      <c r="I317">
        <v>0</v>
      </c>
      <c r="J317">
        <v>2014</v>
      </c>
      <c r="K317" t="s">
        <v>32</v>
      </c>
      <c r="L317" t="s">
        <v>15</v>
      </c>
      <c r="M317" t="str">
        <f>IF(J317&gt;2010,"Yes","No")</f>
        <v>Yes</v>
      </c>
      <c r="N317">
        <f>F317/D317</f>
        <v>0.24590681758357463</v>
      </c>
      <c r="O317">
        <f>E317/D317</f>
        <v>11.223585153987893</v>
      </c>
    </row>
    <row r="318" spans="1:15" x14ac:dyDescent="0.3">
      <c r="A318" t="s">
        <v>70</v>
      </c>
      <c r="B318" t="s">
        <v>34</v>
      </c>
      <c r="C318">
        <v>3</v>
      </c>
      <c r="D318">
        <v>190.11</v>
      </c>
      <c r="E318">
        <v>1127.31</v>
      </c>
      <c r="F318">
        <v>37.21</v>
      </c>
      <c r="G318">
        <v>951</v>
      </c>
      <c r="H318">
        <v>1.52</v>
      </c>
      <c r="I318">
        <v>0</v>
      </c>
      <c r="J318">
        <v>2005</v>
      </c>
      <c r="K318" t="s">
        <v>32</v>
      </c>
      <c r="L318" t="s">
        <v>15</v>
      </c>
      <c r="M318" t="str">
        <f>IF(J318&gt;2010,"Yes","No")</f>
        <v>No</v>
      </c>
      <c r="N318">
        <f>F318/D318</f>
        <v>0.19572878859607595</v>
      </c>
      <c r="O318">
        <f>E318/D318</f>
        <v>5.9297774972384403</v>
      </c>
    </row>
    <row r="319" spans="1:15" x14ac:dyDescent="0.3">
      <c r="A319" t="s">
        <v>127</v>
      </c>
      <c r="B319" t="s">
        <v>39</v>
      </c>
      <c r="C319">
        <v>2</v>
      </c>
      <c r="D319">
        <v>191.35</v>
      </c>
      <c r="E319">
        <v>1139.08</v>
      </c>
      <c r="F319">
        <v>84.49</v>
      </c>
      <c r="G319">
        <v>4682</v>
      </c>
      <c r="H319">
        <v>3.44</v>
      </c>
      <c r="I319">
        <v>0</v>
      </c>
      <c r="J319">
        <v>2000</v>
      </c>
      <c r="K319" t="s">
        <v>32</v>
      </c>
      <c r="L319" t="s">
        <v>15</v>
      </c>
      <c r="M319" t="str">
        <f>IF(J319&gt;2010,"Yes","No")</f>
        <v>No</v>
      </c>
      <c r="N319">
        <f>F319/D319</f>
        <v>0.44154690357982751</v>
      </c>
      <c r="O319">
        <f>E319/D319</f>
        <v>5.9528612490201196</v>
      </c>
    </row>
    <row r="320" spans="1:15" x14ac:dyDescent="0.3">
      <c r="A320" t="s">
        <v>124</v>
      </c>
      <c r="B320" t="s">
        <v>17</v>
      </c>
      <c r="C320">
        <v>5</v>
      </c>
      <c r="D320">
        <v>191.87</v>
      </c>
      <c r="E320">
        <v>826.39</v>
      </c>
      <c r="F320">
        <v>97.49</v>
      </c>
      <c r="G320">
        <v>4766</v>
      </c>
      <c r="H320">
        <v>2.6</v>
      </c>
      <c r="I320">
        <v>1</v>
      </c>
      <c r="J320">
        <v>1990</v>
      </c>
      <c r="K320" t="s">
        <v>28</v>
      </c>
      <c r="L320" t="s">
        <v>15</v>
      </c>
      <c r="M320" t="str">
        <f>IF(J320&gt;2010,"Yes","No")</f>
        <v>No</v>
      </c>
      <c r="N320">
        <f>F320/D320</f>
        <v>0.50810444571845514</v>
      </c>
      <c r="O320">
        <f>E320/D320</f>
        <v>4.3070308021055919</v>
      </c>
    </row>
    <row r="321" spans="1:15" x14ac:dyDescent="0.3">
      <c r="A321" t="s">
        <v>150</v>
      </c>
      <c r="B321" t="s">
        <v>13</v>
      </c>
      <c r="C321">
        <v>5</v>
      </c>
      <c r="D321">
        <v>193.54</v>
      </c>
      <c r="E321">
        <v>1929.82</v>
      </c>
      <c r="F321">
        <v>72.540000000000006</v>
      </c>
      <c r="G321">
        <v>1868</v>
      </c>
      <c r="H321">
        <v>1.8</v>
      </c>
      <c r="I321">
        <v>1</v>
      </c>
      <c r="J321">
        <v>2003</v>
      </c>
      <c r="K321" t="s">
        <v>32</v>
      </c>
      <c r="L321" t="s">
        <v>26</v>
      </c>
      <c r="M321" t="str">
        <f>IF(J321&gt;2010,"Yes","No")</f>
        <v>No</v>
      </c>
      <c r="N321">
        <f>F321/D321</f>
        <v>0.37480624160380288</v>
      </c>
      <c r="O321">
        <f>E321/D321</f>
        <v>9.9711687506458606</v>
      </c>
    </row>
    <row r="322" spans="1:15" x14ac:dyDescent="0.3">
      <c r="A322" t="s">
        <v>50</v>
      </c>
      <c r="B322" t="s">
        <v>13</v>
      </c>
      <c r="C322">
        <v>2</v>
      </c>
      <c r="D322">
        <v>193.69</v>
      </c>
      <c r="E322">
        <v>1171.96</v>
      </c>
      <c r="F322">
        <v>22.62</v>
      </c>
      <c r="G322">
        <v>128</v>
      </c>
      <c r="H322">
        <v>5.78</v>
      </c>
      <c r="I322">
        <v>0</v>
      </c>
      <c r="J322">
        <v>2003</v>
      </c>
      <c r="K322" t="s">
        <v>18</v>
      </c>
      <c r="L322" t="s">
        <v>15</v>
      </c>
      <c r="M322" t="str">
        <f>IF(J322&gt;2010,"Yes","No")</f>
        <v>No</v>
      </c>
      <c r="N322">
        <f>F322/D322</f>
        <v>0.11678455263565492</v>
      </c>
      <c r="O322">
        <f>E322/D322</f>
        <v>6.0506995714802008</v>
      </c>
    </row>
    <row r="323" spans="1:15" x14ac:dyDescent="0.3">
      <c r="A323" t="s">
        <v>130</v>
      </c>
      <c r="B323" t="s">
        <v>75</v>
      </c>
      <c r="C323">
        <v>1</v>
      </c>
      <c r="D323">
        <v>194.18</v>
      </c>
      <c r="E323">
        <v>1862.76</v>
      </c>
      <c r="F323">
        <v>85.32</v>
      </c>
      <c r="G323">
        <v>3493</v>
      </c>
      <c r="H323">
        <v>2.2799999999999998</v>
      </c>
      <c r="I323">
        <v>0</v>
      </c>
      <c r="J323">
        <v>1998</v>
      </c>
      <c r="K323" t="s">
        <v>28</v>
      </c>
      <c r="L323" t="s">
        <v>23</v>
      </c>
      <c r="M323" t="str">
        <f>IF(J323&gt;2010,"Yes","No")</f>
        <v>No</v>
      </c>
      <c r="N323">
        <f>F323/D323</f>
        <v>0.43938613657431247</v>
      </c>
      <c r="O323">
        <f>E323/D323</f>
        <v>9.5929549902152633</v>
      </c>
    </row>
    <row r="324" spans="1:15" x14ac:dyDescent="0.3">
      <c r="A324" t="s">
        <v>319</v>
      </c>
      <c r="B324" t="s">
        <v>21</v>
      </c>
      <c r="C324">
        <v>3</v>
      </c>
      <c r="D324">
        <v>194.45</v>
      </c>
      <c r="E324">
        <v>769.94</v>
      </c>
      <c r="F324">
        <v>12.97</v>
      </c>
      <c r="G324">
        <v>4429</v>
      </c>
      <c r="H324">
        <v>9.1199999999999992</v>
      </c>
      <c r="I324">
        <v>1</v>
      </c>
      <c r="J324">
        <v>2020</v>
      </c>
      <c r="K324" t="s">
        <v>14</v>
      </c>
      <c r="L324" t="s">
        <v>23</v>
      </c>
      <c r="M324" t="str">
        <f>IF(J324&gt;2010,"Yes","No")</f>
        <v>Yes</v>
      </c>
      <c r="N324">
        <f>F324/D324</f>
        <v>6.6700951401388542E-2</v>
      </c>
      <c r="O324">
        <f>E324/D324</f>
        <v>3.9595782977629215</v>
      </c>
    </row>
    <row r="325" spans="1:15" x14ac:dyDescent="0.3">
      <c r="A325" t="s">
        <v>151</v>
      </c>
      <c r="B325" t="s">
        <v>34</v>
      </c>
      <c r="C325">
        <v>2</v>
      </c>
      <c r="D325">
        <v>195.23</v>
      </c>
      <c r="E325">
        <v>795.66</v>
      </c>
      <c r="F325">
        <v>19.2</v>
      </c>
      <c r="G325">
        <v>120</v>
      </c>
      <c r="H325">
        <v>9.73</v>
      </c>
      <c r="I325">
        <v>0</v>
      </c>
      <c r="J325">
        <v>1999</v>
      </c>
      <c r="K325" t="s">
        <v>41</v>
      </c>
      <c r="L325" t="s">
        <v>15</v>
      </c>
      <c r="M325" t="str">
        <f>IF(J325&gt;2010,"Yes","No")</f>
        <v>No</v>
      </c>
      <c r="N325">
        <f>F325/D325</f>
        <v>9.8345541156584546E-2</v>
      </c>
      <c r="O325">
        <f>E325/D325</f>
        <v>4.0755006914920866</v>
      </c>
    </row>
    <row r="326" spans="1:15" x14ac:dyDescent="0.3">
      <c r="A326" t="s">
        <v>441</v>
      </c>
      <c r="B326" t="s">
        <v>34</v>
      </c>
      <c r="C326">
        <v>3</v>
      </c>
      <c r="D326">
        <v>195.26</v>
      </c>
      <c r="E326">
        <v>610.21</v>
      </c>
      <c r="F326">
        <v>67.13</v>
      </c>
      <c r="G326">
        <v>495</v>
      </c>
      <c r="H326">
        <v>9.86</v>
      </c>
      <c r="I326">
        <v>0</v>
      </c>
      <c r="J326">
        <v>2020</v>
      </c>
      <c r="K326" t="s">
        <v>41</v>
      </c>
      <c r="L326" t="s">
        <v>15</v>
      </c>
      <c r="M326" t="str">
        <f>IF(J326&gt;2010,"Yes","No")</f>
        <v>Yes</v>
      </c>
      <c r="N326">
        <f>F326/D326</f>
        <v>0.34379801290586909</v>
      </c>
      <c r="O326">
        <f>E326/D326</f>
        <v>3.1251152309740862</v>
      </c>
    </row>
    <row r="327" spans="1:15" x14ac:dyDescent="0.3">
      <c r="A327" t="s">
        <v>379</v>
      </c>
      <c r="B327" t="s">
        <v>34</v>
      </c>
      <c r="C327">
        <v>3</v>
      </c>
      <c r="D327">
        <v>195.63</v>
      </c>
      <c r="E327">
        <v>1210.99</v>
      </c>
      <c r="F327">
        <v>91.08</v>
      </c>
      <c r="G327">
        <v>3680</v>
      </c>
      <c r="H327">
        <v>7.49</v>
      </c>
      <c r="I327">
        <v>1</v>
      </c>
      <c r="J327">
        <v>1994</v>
      </c>
      <c r="K327" t="s">
        <v>14</v>
      </c>
      <c r="L327" t="s">
        <v>15</v>
      </c>
      <c r="M327" t="str">
        <f>IF(J327&gt;2010,"Yes","No")</f>
        <v>No</v>
      </c>
      <c r="N327">
        <f>F327/D327</f>
        <v>0.46557276491335686</v>
      </c>
      <c r="O327">
        <f>E327/D327</f>
        <v>6.1902060011245723</v>
      </c>
    </row>
    <row r="328" spans="1:15" x14ac:dyDescent="0.3">
      <c r="A328" t="s">
        <v>501</v>
      </c>
      <c r="B328" t="s">
        <v>30</v>
      </c>
      <c r="C328">
        <v>5</v>
      </c>
      <c r="D328">
        <v>195.81</v>
      </c>
      <c r="E328">
        <v>807.73</v>
      </c>
      <c r="F328">
        <v>45.07</v>
      </c>
      <c r="G328">
        <v>2900</v>
      </c>
      <c r="H328">
        <v>5.18</v>
      </c>
      <c r="I328">
        <v>1</v>
      </c>
      <c r="J328">
        <v>2006</v>
      </c>
      <c r="K328" t="s">
        <v>14</v>
      </c>
      <c r="L328" t="s">
        <v>15</v>
      </c>
      <c r="M328" t="str">
        <f>IF(J328&gt;2010,"Yes","No")</f>
        <v>No</v>
      </c>
      <c r="N328">
        <f>F328/D328</f>
        <v>0.23017210561258364</v>
      </c>
      <c r="O328">
        <f>E328/D328</f>
        <v>4.1250702211327308</v>
      </c>
    </row>
    <row r="329" spans="1:15" x14ac:dyDescent="0.3">
      <c r="A329" t="s">
        <v>452</v>
      </c>
      <c r="B329" t="s">
        <v>25</v>
      </c>
      <c r="C329">
        <v>2</v>
      </c>
      <c r="D329">
        <v>196.15</v>
      </c>
      <c r="E329">
        <v>1732.43</v>
      </c>
      <c r="F329">
        <v>4.1500000000000004</v>
      </c>
      <c r="G329">
        <v>1781</v>
      </c>
      <c r="H329">
        <v>0.32</v>
      </c>
      <c r="I329">
        <v>0</v>
      </c>
      <c r="J329">
        <v>1996</v>
      </c>
      <c r="K329" t="s">
        <v>41</v>
      </c>
      <c r="L329" t="s">
        <v>23</v>
      </c>
      <c r="M329" t="str">
        <f>IF(J329&gt;2010,"Yes","No")</f>
        <v>No</v>
      </c>
      <c r="N329">
        <f>F329/D329</f>
        <v>2.115727759367831E-2</v>
      </c>
      <c r="O329">
        <f>E329/D329</f>
        <v>8.8321692582207501</v>
      </c>
    </row>
    <row r="330" spans="1:15" x14ac:dyDescent="0.3">
      <c r="A330" t="s">
        <v>478</v>
      </c>
      <c r="B330" t="s">
        <v>30</v>
      </c>
      <c r="C330">
        <v>4</v>
      </c>
      <c r="D330">
        <v>196.68</v>
      </c>
      <c r="E330">
        <v>2899.21</v>
      </c>
      <c r="F330">
        <v>82.92</v>
      </c>
      <c r="G330">
        <v>1551</v>
      </c>
      <c r="H330">
        <v>8.75</v>
      </c>
      <c r="I330">
        <v>0</v>
      </c>
      <c r="J330">
        <v>2003</v>
      </c>
      <c r="K330" t="s">
        <v>32</v>
      </c>
      <c r="L330" t="s">
        <v>23</v>
      </c>
      <c r="M330" t="str">
        <f>IF(J330&gt;2010,"Yes","No")</f>
        <v>No</v>
      </c>
      <c r="N330">
        <f>F330/D330</f>
        <v>0.42159853569249539</v>
      </c>
      <c r="O330">
        <f>E330/D330</f>
        <v>14.740746390075248</v>
      </c>
    </row>
    <row r="331" spans="1:15" x14ac:dyDescent="0.3">
      <c r="A331" t="s">
        <v>390</v>
      </c>
      <c r="B331" t="s">
        <v>34</v>
      </c>
      <c r="C331">
        <v>1</v>
      </c>
      <c r="D331">
        <v>197.27</v>
      </c>
      <c r="E331">
        <v>2626.61</v>
      </c>
      <c r="F331">
        <v>13.26</v>
      </c>
      <c r="G331">
        <v>37</v>
      </c>
      <c r="H331">
        <v>0.86</v>
      </c>
      <c r="I331">
        <v>0</v>
      </c>
      <c r="J331">
        <v>1997</v>
      </c>
      <c r="K331" t="s">
        <v>41</v>
      </c>
      <c r="L331" t="s">
        <v>15</v>
      </c>
      <c r="M331" t="str">
        <f>IF(J331&gt;2010,"Yes","No")</f>
        <v>No</v>
      </c>
      <c r="N331">
        <f>F331/D331</f>
        <v>6.7217519136209256E-2</v>
      </c>
      <c r="O331">
        <f>E331/D331</f>
        <v>13.314796978760075</v>
      </c>
    </row>
    <row r="332" spans="1:15" x14ac:dyDescent="0.3">
      <c r="A332" t="s">
        <v>431</v>
      </c>
      <c r="B332" t="s">
        <v>13</v>
      </c>
      <c r="C332">
        <v>3</v>
      </c>
      <c r="D332">
        <v>198.42</v>
      </c>
      <c r="E332">
        <v>2572.8000000000002</v>
      </c>
      <c r="F332">
        <v>57.52</v>
      </c>
      <c r="G332">
        <v>1557</v>
      </c>
      <c r="H332">
        <v>5.86</v>
      </c>
      <c r="I332">
        <v>1</v>
      </c>
      <c r="J332">
        <v>2015</v>
      </c>
      <c r="K332" t="s">
        <v>14</v>
      </c>
      <c r="L332" t="s">
        <v>15</v>
      </c>
      <c r="M332" t="str">
        <f>IF(J332&gt;2010,"Yes","No")</f>
        <v>Yes</v>
      </c>
      <c r="N332">
        <f>F332/D332</f>
        <v>0.28989013204314085</v>
      </c>
      <c r="O332">
        <f>E332/D332</f>
        <v>12.966434835198067</v>
      </c>
    </row>
    <row r="333" spans="1:15" x14ac:dyDescent="0.3">
      <c r="A333" t="s">
        <v>162</v>
      </c>
      <c r="B333" t="s">
        <v>34</v>
      </c>
      <c r="C333">
        <v>5</v>
      </c>
      <c r="D333">
        <v>198.67</v>
      </c>
      <c r="E333">
        <v>2487.52</v>
      </c>
      <c r="F333">
        <v>54.56</v>
      </c>
      <c r="G333">
        <v>2532</v>
      </c>
      <c r="H333">
        <v>0.61</v>
      </c>
      <c r="I333">
        <v>0</v>
      </c>
      <c r="J333">
        <v>2000</v>
      </c>
      <c r="K333" t="s">
        <v>32</v>
      </c>
      <c r="L333" t="s">
        <v>15</v>
      </c>
      <c r="M333" t="str">
        <f>IF(J333&gt;2010,"Yes","No")</f>
        <v>No</v>
      </c>
      <c r="N333">
        <f>F333/D333</f>
        <v>0.27462626465998896</v>
      </c>
      <c r="O333">
        <f>E333/D333</f>
        <v>12.520863743896916</v>
      </c>
    </row>
    <row r="334" spans="1:15" x14ac:dyDescent="0.3">
      <c r="A334" t="s">
        <v>262</v>
      </c>
      <c r="B334" t="s">
        <v>34</v>
      </c>
      <c r="C334">
        <v>2</v>
      </c>
      <c r="D334">
        <v>198.8</v>
      </c>
      <c r="E334">
        <v>2198.4699999999998</v>
      </c>
      <c r="F334">
        <v>11.16</v>
      </c>
      <c r="G334">
        <v>1269</v>
      </c>
      <c r="H334">
        <v>0.78</v>
      </c>
      <c r="I334">
        <v>1</v>
      </c>
      <c r="J334">
        <v>1993</v>
      </c>
      <c r="K334" t="s">
        <v>18</v>
      </c>
      <c r="L334" t="s">
        <v>23</v>
      </c>
      <c r="M334" t="str">
        <f>IF(J334&gt;2010,"Yes","No")</f>
        <v>No</v>
      </c>
      <c r="N334">
        <f>F334/D334</f>
        <v>5.6136820925553318E-2</v>
      </c>
      <c r="O334">
        <f>E334/D334</f>
        <v>11.058702213279677</v>
      </c>
    </row>
    <row r="335" spans="1:15" x14ac:dyDescent="0.3">
      <c r="A335" t="s">
        <v>499</v>
      </c>
      <c r="B335" t="s">
        <v>13</v>
      </c>
      <c r="C335">
        <v>5</v>
      </c>
      <c r="D335">
        <v>198.96</v>
      </c>
      <c r="E335">
        <v>849.79</v>
      </c>
      <c r="F335">
        <v>22.71</v>
      </c>
      <c r="G335">
        <v>4719</v>
      </c>
      <c r="H335">
        <v>9.82</v>
      </c>
      <c r="I335">
        <v>0</v>
      </c>
      <c r="J335">
        <v>1990</v>
      </c>
      <c r="K335" t="s">
        <v>28</v>
      </c>
      <c r="L335" t="s">
        <v>15</v>
      </c>
      <c r="M335" t="str">
        <f>IF(J335&gt;2010,"Yes","No")</f>
        <v>No</v>
      </c>
      <c r="N335">
        <f>F335/D335</f>
        <v>0.11414354644149578</v>
      </c>
      <c r="O335">
        <f>E335/D335</f>
        <v>4.2711600321672698</v>
      </c>
    </row>
    <row r="336" spans="1:15" x14ac:dyDescent="0.3">
      <c r="A336" t="s">
        <v>515</v>
      </c>
      <c r="B336" t="s">
        <v>75</v>
      </c>
      <c r="C336">
        <v>1</v>
      </c>
      <c r="D336">
        <v>200.98</v>
      </c>
      <c r="E336">
        <v>2393.31</v>
      </c>
      <c r="F336">
        <v>76.209999999999994</v>
      </c>
      <c r="G336">
        <v>90</v>
      </c>
      <c r="H336">
        <v>9.3000000000000007</v>
      </c>
      <c r="I336">
        <v>1</v>
      </c>
      <c r="J336">
        <v>2007</v>
      </c>
      <c r="K336" t="s">
        <v>41</v>
      </c>
      <c r="L336" t="s">
        <v>15</v>
      </c>
      <c r="M336" t="str">
        <f>IF(J336&gt;2010,"Yes","No")</f>
        <v>No</v>
      </c>
      <c r="N336">
        <f>F336/D336</f>
        <v>0.37919195939894518</v>
      </c>
      <c r="O336">
        <f>E336/D336</f>
        <v>11.9081998208777</v>
      </c>
    </row>
    <row r="337" spans="1:15" x14ac:dyDescent="0.3">
      <c r="A337" t="s">
        <v>133</v>
      </c>
      <c r="B337" t="s">
        <v>30</v>
      </c>
      <c r="C337">
        <v>5</v>
      </c>
      <c r="D337">
        <v>201.14</v>
      </c>
      <c r="E337">
        <v>1861.51</v>
      </c>
      <c r="F337">
        <v>56.24</v>
      </c>
      <c r="G337">
        <v>1951</v>
      </c>
      <c r="H337">
        <v>1.58</v>
      </c>
      <c r="I337">
        <v>0</v>
      </c>
      <c r="J337">
        <v>2003</v>
      </c>
      <c r="K337" t="s">
        <v>32</v>
      </c>
      <c r="L337" t="s">
        <v>15</v>
      </c>
      <c r="M337" t="str">
        <f>IF(J337&gt;2010,"Yes","No")</f>
        <v>No</v>
      </c>
      <c r="N337">
        <f>F337/D337</f>
        <v>0.27960624440688081</v>
      </c>
      <c r="O337">
        <f>E337/D337</f>
        <v>9.2547976533757588</v>
      </c>
    </row>
    <row r="338" spans="1:15" x14ac:dyDescent="0.3">
      <c r="A338" t="s">
        <v>417</v>
      </c>
      <c r="B338" t="s">
        <v>25</v>
      </c>
      <c r="C338">
        <v>5</v>
      </c>
      <c r="D338">
        <v>201.28</v>
      </c>
      <c r="E338">
        <v>2195.65</v>
      </c>
      <c r="F338">
        <v>83.35</v>
      </c>
      <c r="G338">
        <v>1107</v>
      </c>
      <c r="H338">
        <v>4.9400000000000004</v>
      </c>
      <c r="I338">
        <v>1</v>
      </c>
      <c r="J338">
        <v>2009</v>
      </c>
      <c r="K338" t="s">
        <v>14</v>
      </c>
      <c r="L338" t="s">
        <v>15</v>
      </c>
      <c r="M338" t="str">
        <f>IF(J338&gt;2010,"Yes","No")</f>
        <v>No</v>
      </c>
      <c r="N338">
        <f>F338/D338</f>
        <v>0.41409976152623207</v>
      </c>
      <c r="O338">
        <f>E338/D338</f>
        <v>10.908436009538951</v>
      </c>
    </row>
    <row r="339" spans="1:15" x14ac:dyDescent="0.3">
      <c r="A339" t="s">
        <v>317</v>
      </c>
      <c r="B339" t="s">
        <v>13</v>
      </c>
      <c r="C339">
        <v>5</v>
      </c>
      <c r="D339">
        <v>202.98</v>
      </c>
      <c r="E339">
        <v>1841.7</v>
      </c>
      <c r="F339">
        <v>22.75</v>
      </c>
      <c r="G339">
        <v>2083</v>
      </c>
      <c r="H339">
        <v>8.1999999999999993</v>
      </c>
      <c r="I339">
        <v>1</v>
      </c>
      <c r="J339">
        <v>2016</v>
      </c>
      <c r="K339" t="s">
        <v>28</v>
      </c>
      <c r="L339" t="s">
        <v>15</v>
      </c>
      <c r="M339" t="str">
        <f>IF(J339&gt;2010,"Yes","No")</f>
        <v>Yes</v>
      </c>
      <c r="N339">
        <f>F339/D339</f>
        <v>0.11208000788255001</v>
      </c>
      <c r="O339">
        <f>E339/D339</f>
        <v>9.0733077150458179</v>
      </c>
    </row>
    <row r="340" spans="1:15" x14ac:dyDescent="0.3">
      <c r="A340" t="s">
        <v>386</v>
      </c>
      <c r="B340" t="s">
        <v>34</v>
      </c>
      <c r="C340">
        <v>4</v>
      </c>
      <c r="D340">
        <v>204.3</v>
      </c>
      <c r="E340">
        <v>1209.81</v>
      </c>
      <c r="F340">
        <v>44.58</v>
      </c>
      <c r="G340">
        <v>3467</v>
      </c>
      <c r="H340">
        <v>4.49</v>
      </c>
      <c r="I340">
        <v>0</v>
      </c>
      <c r="J340">
        <v>1991</v>
      </c>
      <c r="K340" t="s">
        <v>28</v>
      </c>
      <c r="L340" t="s">
        <v>15</v>
      </c>
      <c r="M340" t="str">
        <f>IF(J340&gt;2010,"Yes","No")</f>
        <v>No</v>
      </c>
      <c r="N340">
        <f>F340/D340</f>
        <v>0.21820851688693096</v>
      </c>
      <c r="O340">
        <f>E340/D340</f>
        <v>5.9217327459618199</v>
      </c>
    </row>
    <row r="341" spans="1:15" x14ac:dyDescent="0.3">
      <c r="A341" t="s">
        <v>55</v>
      </c>
      <c r="B341" t="s">
        <v>34</v>
      </c>
      <c r="C341">
        <v>1</v>
      </c>
      <c r="D341">
        <v>205.11</v>
      </c>
      <c r="E341">
        <v>941.98</v>
      </c>
      <c r="F341">
        <v>60.25</v>
      </c>
      <c r="G341">
        <v>4177</v>
      </c>
      <c r="H341">
        <v>9.75</v>
      </c>
      <c r="I341">
        <v>1</v>
      </c>
      <c r="J341">
        <v>2008</v>
      </c>
      <c r="K341" t="s">
        <v>28</v>
      </c>
      <c r="L341" t="s">
        <v>23</v>
      </c>
      <c r="M341" t="str">
        <f>IF(J341&gt;2010,"Yes","No")</f>
        <v>No</v>
      </c>
      <c r="N341">
        <f>F341/D341</f>
        <v>0.29374481985276191</v>
      </c>
      <c r="O341">
        <f>E341/D341</f>
        <v>4.5925600897079617</v>
      </c>
    </row>
    <row r="342" spans="1:15" x14ac:dyDescent="0.3">
      <c r="A342" t="s">
        <v>119</v>
      </c>
      <c r="B342" t="s">
        <v>21</v>
      </c>
      <c r="C342">
        <v>1</v>
      </c>
      <c r="D342">
        <v>207.32</v>
      </c>
      <c r="E342">
        <v>1971.27</v>
      </c>
      <c r="F342">
        <v>4.5599999999999996</v>
      </c>
      <c r="G342">
        <v>1212</v>
      </c>
      <c r="H342">
        <v>4.22</v>
      </c>
      <c r="I342">
        <v>0</v>
      </c>
      <c r="J342">
        <v>1994</v>
      </c>
      <c r="K342" t="s">
        <v>18</v>
      </c>
      <c r="L342" t="s">
        <v>26</v>
      </c>
      <c r="M342" t="str">
        <f>IF(J342&gt;2010,"Yes","No")</f>
        <v>No</v>
      </c>
      <c r="N342">
        <f>F342/D342</f>
        <v>2.1994983600231523E-2</v>
      </c>
      <c r="O342">
        <f>E342/D342</f>
        <v>9.5083445880764046</v>
      </c>
    </row>
    <row r="343" spans="1:15" x14ac:dyDescent="0.3">
      <c r="A343" t="s">
        <v>54</v>
      </c>
      <c r="B343" t="s">
        <v>34</v>
      </c>
      <c r="C343">
        <v>2</v>
      </c>
      <c r="D343">
        <v>207.52</v>
      </c>
      <c r="E343">
        <v>935.69</v>
      </c>
      <c r="F343">
        <v>59.98</v>
      </c>
      <c r="G343">
        <v>801</v>
      </c>
      <c r="H343">
        <v>8.7899999999999991</v>
      </c>
      <c r="I343">
        <v>1</v>
      </c>
      <c r="J343">
        <v>2004</v>
      </c>
      <c r="K343" t="s">
        <v>18</v>
      </c>
      <c r="L343" t="s">
        <v>26</v>
      </c>
      <c r="M343" t="str">
        <f>IF(J343&gt;2010,"Yes","No")</f>
        <v>No</v>
      </c>
      <c r="N343">
        <f>F343/D343</f>
        <v>0.28903238242097146</v>
      </c>
      <c r="O343">
        <f>E343/D343</f>
        <v>4.508914803392444</v>
      </c>
    </row>
    <row r="344" spans="1:15" x14ac:dyDescent="0.3">
      <c r="A344" t="s">
        <v>131</v>
      </c>
      <c r="B344" t="s">
        <v>39</v>
      </c>
      <c r="C344">
        <v>4</v>
      </c>
      <c r="D344">
        <v>208.11</v>
      </c>
      <c r="E344">
        <v>2489.52</v>
      </c>
      <c r="F344">
        <v>4.75</v>
      </c>
      <c r="G344">
        <v>2459</v>
      </c>
      <c r="H344">
        <v>7.65</v>
      </c>
      <c r="I344">
        <v>0</v>
      </c>
      <c r="J344">
        <v>2001</v>
      </c>
      <c r="K344" t="s">
        <v>32</v>
      </c>
      <c r="L344" t="s">
        <v>26</v>
      </c>
      <c r="M344" t="str">
        <f>IF(J344&gt;2010,"Yes","No")</f>
        <v>No</v>
      </c>
      <c r="N344">
        <f>F344/D344</f>
        <v>2.2824467829513237E-2</v>
      </c>
      <c r="O344">
        <f>E344/D344</f>
        <v>11.962519821248378</v>
      </c>
    </row>
    <row r="345" spans="1:15" x14ac:dyDescent="0.3">
      <c r="A345" t="s">
        <v>414</v>
      </c>
      <c r="B345" t="s">
        <v>25</v>
      </c>
      <c r="C345">
        <v>1</v>
      </c>
      <c r="D345">
        <v>208.11</v>
      </c>
      <c r="E345">
        <v>743.78</v>
      </c>
      <c r="F345">
        <v>53.75</v>
      </c>
      <c r="G345">
        <v>2209</v>
      </c>
      <c r="H345">
        <v>4.17</v>
      </c>
      <c r="I345">
        <v>0</v>
      </c>
      <c r="J345">
        <v>1994</v>
      </c>
      <c r="K345" t="s">
        <v>18</v>
      </c>
      <c r="L345" t="s">
        <v>15</v>
      </c>
      <c r="M345" t="str">
        <f>IF(J345&gt;2010,"Yes","No")</f>
        <v>No</v>
      </c>
      <c r="N345">
        <f>F345/D345</f>
        <v>0.25827687280764977</v>
      </c>
      <c r="O345">
        <f>E345/D345</f>
        <v>3.5739753015232325</v>
      </c>
    </row>
    <row r="346" spans="1:15" x14ac:dyDescent="0.3">
      <c r="A346" t="s">
        <v>250</v>
      </c>
      <c r="B346" t="s">
        <v>75</v>
      </c>
      <c r="C346">
        <v>3</v>
      </c>
      <c r="D346">
        <v>208.87</v>
      </c>
      <c r="E346">
        <v>2686.42</v>
      </c>
      <c r="F346">
        <v>65.650000000000006</v>
      </c>
      <c r="G346">
        <v>664</v>
      </c>
      <c r="H346">
        <v>5.25</v>
      </c>
      <c r="I346">
        <v>1</v>
      </c>
      <c r="J346">
        <v>1991</v>
      </c>
      <c r="K346" t="s">
        <v>18</v>
      </c>
      <c r="L346" t="s">
        <v>15</v>
      </c>
      <c r="M346" t="str">
        <f>IF(J346&gt;2010,"Yes","No")</f>
        <v>No</v>
      </c>
      <c r="N346">
        <f>F346/D346</f>
        <v>0.31431033657298801</v>
      </c>
      <c r="O346">
        <f>E346/D346</f>
        <v>12.861684301240006</v>
      </c>
    </row>
    <row r="347" spans="1:15" x14ac:dyDescent="0.3">
      <c r="A347" t="s">
        <v>47</v>
      </c>
      <c r="B347" t="s">
        <v>21</v>
      </c>
      <c r="C347">
        <v>5</v>
      </c>
      <c r="D347">
        <v>209.8</v>
      </c>
      <c r="E347">
        <v>1442.91</v>
      </c>
      <c r="F347">
        <v>51.06</v>
      </c>
      <c r="G347">
        <v>4014</v>
      </c>
      <c r="H347">
        <v>6.26</v>
      </c>
      <c r="I347">
        <v>1</v>
      </c>
      <c r="J347">
        <v>2007</v>
      </c>
      <c r="K347" t="s">
        <v>32</v>
      </c>
      <c r="L347" t="s">
        <v>15</v>
      </c>
      <c r="M347" t="str">
        <f>IF(J347&gt;2010,"Yes","No")</f>
        <v>No</v>
      </c>
      <c r="N347">
        <f>F347/D347</f>
        <v>0.24337464251668256</v>
      </c>
      <c r="O347">
        <f>E347/D347</f>
        <v>6.8775500476644424</v>
      </c>
    </row>
    <row r="348" spans="1:15" x14ac:dyDescent="0.3">
      <c r="A348" t="s">
        <v>275</v>
      </c>
      <c r="B348" t="s">
        <v>13</v>
      </c>
      <c r="C348">
        <v>5</v>
      </c>
      <c r="D348">
        <v>209.85</v>
      </c>
      <c r="E348">
        <v>1501.66</v>
      </c>
      <c r="F348">
        <v>71.94</v>
      </c>
      <c r="G348">
        <v>4237</v>
      </c>
      <c r="H348">
        <v>5.3</v>
      </c>
      <c r="I348">
        <v>0</v>
      </c>
      <c r="J348">
        <v>1991</v>
      </c>
      <c r="K348" t="s">
        <v>32</v>
      </c>
      <c r="L348" t="s">
        <v>15</v>
      </c>
      <c r="M348" t="str">
        <f>IF(J348&gt;2010,"Yes","No")</f>
        <v>No</v>
      </c>
      <c r="N348">
        <f>F348/D348</f>
        <v>0.34281629735525376</v>
      </c>
      <c r="O348">
        <f>E348/D348</f>
        <v>7.1558732427924712</v>
      </c>
    </row>
    <row r="349" spans="1:15" x14ac:dyDescent="0.3">
      <c r="A349" t="s">
        <v>106</v>
      </c>
      <c r="B349" t="s">
        <v>34</v>
      </c>
      <c r="C349">
        <v>2</v>
      </c>
      <c r="D349">
        <v>211.63</v>
      </c>
      <c r="E349">
        <v>2183.59</v>
      </c>
      <c r="F349">
        <v>5.08</v>
      </c>
      <c r="G349">
        <v>3167</v>
      </c>
      <c r="H349">
        <v>0.71</v>
      </c>
      <c r="I349">
        <v>1</v>
      </c>
      <c r="J349">
        <v>2021</v>
      </c>
      <c r="K349" t="s">
        <v>41</v>
      </c>
      <c r="L349" t="s">
        <v>15</v>
      </c>
      <c r="M349" t="str">
        <f>IF(J349&gt;2010,"Yes","No")</f>
        <v>Yes</v>
      </c>
      <c r="N349">
        <f>F349/D349</f>
        <v>2.4004158200633181E-2</v>
      </c>
      <c r="O349">
        <f>E349/D349</f>
        <v>10.317960591598546</v>
      </c>
    </row>
    <row r="350" spans="1:15" x14ac:dyDescent="0.3">
      <c r="A350" t="s">
        <v>527</v>
      </c>
      <c r="B350" t="s">
        <v>30</v>
      </c>
      <c r="C350">
        <v>4</v>
      </c>
      <c r="D350">
        <v>211.76</v>
      </c>
      <c r="E350">
        <v>2563.17</v>
      </c>
      <c r="F350">
        <v>84.19</v>
      </c>
      <c r="G350">
        <v>2374</v>
      </c>
      <c r="H350">
        <v>5.26</v>
      </c>
      <c r="I350">
        <v>0</v>
      </c>
      <c r="J350">
        <v>2000</v>
      </c>
      <c r="K350" t="s">
        <v>32</v>
      </c>
      <c r="L350" t="s">
        <v>15</v>
      </c>
      <c r="M350" t="str">
        <f>IF(J350&gt;2010,"Yes","No")</f>
        <v>No</v>
      </c>
      <c r="N350">
        <f>F350/D350</f>
        <v>0.39757272383830755</v>
      </c>
      <c r="O350">
        <f>E350/D350</f>
        <v>12.10412731394031</v>
      </c>
    </row>
    <row r="351" spans="1:15" x14ac:dyDescent="0.3">
      <c r="A351" t="s">
        <v>311</v>
      </c>
      <c r="B351" t="s">
        <v>75</v>
      </c>
      <c r="C351">
        <v>1</v>
      </c>
      <c r="D351">
        <v>212.72</v>
      </c>
      <c r="E351">
        <v>1448.7</v>
      </c>
      <c r="F351">
        <v>65.11</v>
      </c>
      <c r="G351">
        <v>4973</v>
      </c>
      <c r="H351">
        <v>2.37</v>
      </c>
      <c r="I351">
        <v>0</v>
      </c>
      <c r="J351">
        <v>1999</v>
      </c>
      <c r="K351" t="s">
        <v>14</v>
      </c>
      <c r="L351" t="s">
        <v>15</v>
      </c>
      <c r="M351" t="str">
        <f>IF(J351&gt;2010,"Yes","No")</f>
        <v>No</v>
      </c>
      <c r="N351">
        <f>F351/D351</f>
        <v>0.30608311395261378</v>
      </c>
      <c r="O351">
        <f>E351/D351</f>
        <v>6.8103610379842046</v>
      </c>
    </row>
    <row r="352" spans="1:15" x14ac:dyDescent="0.3">
      <c r="A352" t="s">
        <v>355</v>
      </c>
      <c r="B352" t="s">
        <v>34</v>
      </c>
      <c r="C352">
        <v>2</v>
      </c>
      <c r="D352">
        <v>214.62</v>
      </c>
      <c r="E352">
        <v>2683.85</v>
      </c>
      <c r="F352">
        <v>33.11</v>
      </c>
      <c r="G352">
        <v>2010</v>
      </c>
      <c r="H352">
        <v>8.35</v>
      </c>
      <c r="I352">
        <v>0</v>
      </c>
      <c r="J352">
        <v>1995</v>
      </c>
      <c r="K352" t="s">
        <v>32</v>
      </c>
      <c r="L352" t="s">
        <v>15</v>
      </c>
      <c r="M352" t="str">
        <f>IF(J352&gt;2010,"Yes","No")</f>
        <v>No</v>
      </c>
      <c r="N352">
        <f>F352/D352</f>
        <v>0.1542726679712981</v>
      </c>
      <c r="O352">
        <f>E352/D352</f>
        <v>12.505125337806355</v>
      </c>
    </row>
    <row r="353" spans="1:15" x14ac:dyDescent="0.3">
      <c r="A353" t="s">
        <v>191</v>
      </c>
      <c r="B353" t="s">
        <v>39</v>
      </c>
      <c r="C353">
        <v>2</v>
      </c>
      <c r="D353">
        <v>214.81</v>
      </c>
      <c r="E353">
        <v>1038.78</v>
      </c>
      <c r="F353">
        <v>75.44</v>
      </c>
      <c r="G353">
        <v>29</v>
      </c>
      <c r="H353">
        <v>4.87</v>
      </c>
      <c r="I353">
        <v>0</v>
      </c>
      <c r="J353">
        <v>2012</v>
      </c>
      <c r="K353" t="s">
        <v>41</v>
      </c>
      <c r="L353" t="s">
        <v>26</v>
      </c>
      <c r="M353" t="str">
        <f>IF(J353&gt;2010,"Yes","No")</f>
        <v>Yes</v>
      </c>
      <c r="N353">
        <f>F353/D353</f>
        <v>0.35119407848796608</v>
      </c>
      <c r="O353">
        <f>E353/D353</f>
        <v>4.8358083888087142</v>
      </c>
    </row>
    <row r="354" spans="1:15" x14ac:dyDescent="0.3">
      <c r="A354" t="s">
        <v>63</v>
      </c>
      <c r="B354" t="s">
        <v>21</v>
      </c>
      <c r="C354">
        <v>3</v>
      </c>
      <c r="D354">
        <v>216.2</v>
      </c>
      <c r="E354">
        <v>1257.1500000000001</v>
      </c>
      <c r="F354">
        <v>21.06</v>
      </c>
      <c r="G354">
        <v>3241</v>
      </c>
      <c r="H354">
        <v>2.33</v>
      </c>
      <c r="I354">
        <v>0</v>
      </c>
      <c r="J354">
        <v>1990</v>
      </c>
      <c r="K354" t="s">
        <v>14</v>
      </c>
      <c r="L354" t="s">
        <v>15</v>
      </c>
      <c r="M354" t="str">
        <f>IF(J354&gt;2010,"Yes","No")</f>
        <v>No</v>
      </c>
      <c r="N354">
        <f>F354/D354</f>
        <v>9.7409805735430163E-2</v>
      </c>
      <c r="O354">
        <f>E354/D354</f>
        <v>5.8147548566142468</v>
      </c>
    </row>
    <row r="355" spans="1:15" x14ac:dyDescent="0.3">
      <c r="A355" t="s">
        <v>87</v>
      </c>
      <c r="B355" t="s">
        <v>39</v>
      </c>
      <c r="C355">
        <v>1</v>
      </c>
      <c r="D355">
        <v>216.6</v>
      </c>
      <c r="E355">
        <v>2901.85</v>
      </c>
      <c r="F355">
        <v>56.6</v>
      </c>
      <c r="G355">
        <v>1308</v>
      </c>
      <c r="H355">
        <v>3.02</v>
      </c>
      <c r="I355">
        <v>0</v>
      </c>
      <c r="J355">
        <v>1997</v>
      </c>
      <c r="K355" t="s">
        <v>32</v>
      </c>
      <c r="L355" t="s">
        <v>23</v>
      </c>
      <c r="M355" t="str">
        <f>IF(J355&gt;2010,"Yes","No")</f>
        <v>No</v>
      </c>
      <c r="N355">
        <f>F355/D355</f>
        <v>0.26131117266851339</v>
      </c>
      <c r="O355">
        <f>E355/D355</f>
        <v>13.397276084949215</v>
      </c>
    </row>
    <row r="356" spans="1:15" x14ac:dyDescent="0.3">
      <c r="A356" t="s">
        <v>389</v>
      </c>
      <c r="B356" t="s">
        <v>25</v>
      </c>
      <c r="C356">
        <v>2</v>
      </c>
      <c r="D356">
        <v>216.71</v>
      </c>
      <c r="E356">
        <v>2247.06</v>
      </c>
      <c r="F356">
        <v>67.67</v>
      </c>
      <c r="G356">
        <v>4765</v>
      </c>
      <c r="H356">
        <v>7.45</v>
      </c>
      <c r="I356">
        <v>1</v>
      </c>
      <c r="J356">
        <v>2014</v>
      </c>
      <c r="K356" t="s">
        <v>14</v>
      </c>
      <c r="L356" t="s">
        <v>15</v>
      </c>
      <c r="M356" t="str">
        <f>IF(J356&gt;2010,"Yes","No")</f>
        <v>Yes</v>
      </c>
      <c r="N356">
        <f>F356/D356</f>
        <v>0.31226062479811728</v>
      </c>
      <c r="O356">
        <f>E356/D356</f>
        <v>10.368972359374279</v>
      </c>
    </row>
    <row r="357" spans="1:15" x14ac:dyDescent="0.3">
      <c r="A357" t="s">
        <v>126</v>
      </c>
      <c r="B357" t="s">
        <v>75</v>
      </c>
      <c r="C357">
        <v>4</v>
      </c>
      <c r="D357">
        <v>217.37</v>
      </c>
      <c r="E357">
        <v>2025.78</v>
      </c>
      <c r="F357">
        <v>42.95</v>
      </c>
      <c r="G357">
        <v>4964</v>
      </c>
      <c r="H357">
        <v>1.34</v>
      </c>
      <c r="I357">
        <v>0</v>
      </c>
      <c r="J357">
        <v>2011</v>
      </c>
      <c r="K357" t="s">
        <v>41</v>
      </c>
      <c r="L357" t="s">
        <v>15</v>
      </c>
      <c r="M357" t="str">
        <f>IF(J357&gt;2010,"Yes","No")</f>
        <v>Yes</v>
      </c>
      <c r="N357">
        <f>F357/D357</f>
        <v>0.19758936375764827</v>
      </c>
      <c r="O357">
        <f>E357/D357</f>
        <v>9.3195013111284908</v>
      </c>
    </row>
    <row r="358" spans="1:15" x14ac:dyDescent="0.3">
      <c r="A358" t="s">
        <v>394</v>
      </c>
      <c r="B358" t="s">
        <v>17</v>
      </c>
      <c r="C358">
        <v>4</v>
      </c>
      <c r="D358">
        <v>217.42</v>
      </c>
      <c r="E358">
        <v>918.77</v>
      </c>
      <c r="F358">
        <v>26.34</v>
      </c>
      <c r="G358">
        <v>3901</v>
      </c>
      <c r="H358">
        <v>8.11</v>
      </c>
      <c r="I358">
        <v>0</v>
      </c>
      <c r="J358">
        <v>2021</v>
      </c>
      <c r="K358" t="s">
        <v>41</v>
      </c>
      <c r="L358" t="s">
        <v>26</v>
      </c>
      <c r="M358" t="str">
        <f>IF(J358&gt;2010,"Yes","No")</f>
        <v>Yes</v>
      </c>
      <c r="N358">
        <f>F358/D358</f>
        <v>0.1211480084628829</v>
      </c>
      <c r="O358">
        <f>E358/D358</f>
        <v>4.2257841964860638</v>
      </c>
    </row>
    <row r="359" spans="1:15" x14ac:dyDescent="0.3">
      <c r="A359" t="s">
        <v>351</v>
      </c>
      <c r="B359" t="s">
        <v>13</v>
      </c>
      <c r="C359">
        <v>5</v>
      </c>
      <c r="D359">
        <v>217.46</v>
      </c>
      <c r="E359">
        <v>1105.79</v>
      </c>
      <c r="F359">
        <v>59.92</v>
      </c>
      <c r="G359">
        <v>3753</v>
      </c>
      <c r="H359">
        <v>7.89</v>
      </c>
      <c r="I359">
        <v>1</v>
      </c>
      <c r="J359">
        <v>2010</v>
      </c>
      <c r="K359" t="s">
        <v>14</v>
      </c>
      <c r="L359" t="s">
        <v>15</v>
      </c>
      <c r="M359" t="str">
        <f>IF(J359&gt;2010,"Yes","No")</f>
        <v>No</v>
      </c>
      <c r="N359">
        <f>F359/D359</f>
        <v>0.27554492780281431</v>
      </c>
      <c r="O359">
        <f>E359/D359</f>
        <v>5.085027131426469</v>
      </c>
    </row>
    <row r="360" spans="1:15" x14ac:dyDescent="0.3">
      <c r="A360" t="s">
        <v>439</v>
      </c>
      <c r="B360" t="s">
        <v>17</v>
      </c>
      <c r="C360">
        <v>3</v>
      </c>
      <c r="D360">
        <v>217.59</v>
      </c>
      <c r="E360">
        <v>3201.16</v>
      </c>
      <c r="F360">
        <v>73.010000000000005</v>
      </c>
      <c r="G360">
        <v>3488</v>
      </c>
      <c r="H360">
        <v>7.52</v>
      </c>
      <c r="I360">
        <v>1</v>
      </c>
      <c r="J360">
        <v>2001</v>
      </c>
      <c r="K360" t="s">
        <v>14</v>
      </c>
      <c r="L360" t="s">
        <v>15</v>
      </c>
      <c r="M360" t="str">
        <f>IF(J360&gt;2010,"Yes","No")</f>
        <v>No</v>
      </c>
      <c r="N360">
        <f>F360/D360</f>
        <v>0.33553931706420331</v>
      </c>
      <c r="O360">
        <f>E360/D360</f>
        <v>14.7118893331495</v>
      </c>
    </row>
    <row r="361" spans="1:15" x14ac:dyDescent="0.3">
      <c r="A361" t="s">
        <v>141</v>
      </c>
      <c r="B361" t="s">
        <v>34</v>
      </c>
      <c r="C361">
        <v>3</v>
      </c>
      <c r="D361">
        <v>219.44</v>
      </c>
      <c r="E361">
        <v>1177.48</v>
      </c>
      <c r="F361">
        <v>12.89</v>
      </c>
      <c r="G361">
        <v>4704</v>
      </c>
      <c r="H361">
        <v>6.32</v>
      </c>
      <c r="I361">
        <v>0</v>
      </c>
      <c r="J361">
        <v>2012</v>
      </c>
      <c r="K361" t="s">
        <v>32</v>
      </c>
      <c r="L361" t="s">
        <v>15</v>
      </c>
      <c r="M361" t="str">
        <f>IF(J361&gt;2010,"Yes","No")</f>
        <v>Yes</v>
      </c>
      <c r="N361">
        <f>F361/D361</f>
        <v>5.8740430185927818E-2</v>
      </c>
      <c r="O361">
        <f>E361/D361</f>
        <v>5.3658403208166243</v>
      </c>
    </row>
    <row r="362" spans="1:15" x14ac:dyDescent="0.3">
      <c r="A362" t="s">
        <v>343</v>
      </c>
      <c r="B362" t="s">
        <v>17</v>
      </c>
      <c r="C362">
        <v>1</v>
      </c>
      <c r="D362">
        <v>219.52</v>
      </c>
      <c r="E362">
        <v>1357.65</v>
      </c>
      <c r="F362">
        <v>26.41</v>
      </c>
      <c r="G362">
        <v>2101</v>
      </c>
      <c r="H362">
        <v>4.33</v>
      </c>
      <c r="I362">
        <v>1</v>
      </c>
      <c r="J362">
        <v>2009</v>
      </c>
      <c r="K362" t="s">
        <v>18</v>
      </c>
      <c r="L362" t="s">
        <v>15</v>
      </c>
      <c r="M362" t="str">
        <f>IF(J362&gt;2010,"Yes","No")</f>
        <v>No</v>
      </c>
      <c r="N362">
        <f>F362/D362</f>
        <v>0.12030794460641399</v>
      </c>
      <c r="O362">
        <f>E362/D362</f>
        <v>6.1846301020408161</v>
      </c>
    </row>
    <row r="363" spans="1:15" x14ac:dyDescent="0.3">
      <c r="A363" t="s">
        <v>68</v>
      </c>
      <c r="B363" t="s">
        <v>34</v>
      </c>
      <c r="C363">
        <v>5</v>
      </c>
      <c r="D363">
        <v>219.79</v>
      </c>
      <c r="E363">
        <v>1646.57</v>
      </c>
      <c r="F363">
        <v>73.58</v>
      </c>
      <c r="G363">
        <v>4921</v>
      </c>
      <c r="H363">
        <v>3.33</v>
      </c>
      <c r="I363">
        <v>0</v>
      </c>
      <c r="J363">
        <v>2004</v>
      </c>
      <c r="K363" t="s">
        <v>28</v>
      </c>
      <c r="L363" t="s">
        <v>15</v>
      </c>
      <c r="M363" t="str">
        <f>IF(J363&gt;2010,"Yes","No")</f>
        <v>No</v>
      </c>
      <c r="N363">
        <f>F363/D363</f>
        <v>0.33477410255243645</v>
      </c>
      <c r="O363">
        <f>E363/D363</f>
        <v>7.491560125574412</v>
      </c>
    </row>
    <row r="364" spans="1:15" x14ac:dyDescent="0.3">
      <c r="A364" t="s">
        <v>186</v>
      </c>
      <c r="B364" t="s">
        <v>75</v>
      </c>
      <c r="C364">
        <v>4</v>
      </c>
      <c r="D364">
        <v>219.82</v>
      </c>
      <c r="E364">
        <v>2430.5700000000002</v>
      </c>
      <c r="F364">
        <v>49.78</v>
      </c>
      <c r="G364">
        <v>546</v>
      </c>
      <c r="H364">
        <v>7.09</v>
      </c>
      <c r="I364">
        <v>0</v>
      </c>
      <c r="J364">
        <v>2005</v>
      </c>
      <c r="K364" t="s">
        <v>18</v>
      </c>
      <c r="L364" t="s">
        <v>15</v>
      </c>
      <c r="M364" t="str">
        <f>IF(J364&gt;2010,"Yes","No")</f>
        <v>No</v>
      </c>
      <c r="N364">
        <f>F364/D364</f>
        <v>0.22645801109999092</v>
      </c>
      <c r="O364">
        <f>E364/D364</f>
        <v>11.057092166317897</v>
      </c>
    </row>
    <row r="365" spans="1:15" x14ac:dyDescent="0.3">
      <c r="A365" t="s">
        <v>265</v>
      </c>
      <c r="B365" t="s">
        <v>17</v>
      </c>
      <c r="C365">
        <v>4</v>
      </c>
      <c r="D365">
        <v>220.31</v>
      </c>
      <c r="E365">
        <v>2743.92</v>
      </c>
      <c r="F365">
        <v>90.14</v>
      </c>
      <c r="G365">
        <v>3172</v>
      </c>
      <c r="H365">
        <v>4.63</v>
      </c>
      <c r="I365">
        <v>0</v>
      </c>
      <c r="J365">
        <v>2001</v>
      </c>
      <c r="K365" t="s">
        <v>18</v>
      </c>
      <c r="L365" t="s">
        <v>15</v>
      </c>
      <c r="M365" t="str">
        <f>IF(J365&gt;2010,"Yes","No")</f>
        <v>No</v>
      </c>
      <c r="N365">
        <f>F365/D365</f>
        <v>0.40915074213608099</v>
      </c>
      <c r="O365">
        <f>E365/D365</f>
        <v>12.454813671644501</v>
      </c>
    </row>
    <row r="366" spans="1:15" x14ac:dyDescent="0.3">
      <c r="A366" t="s">
        <v>246</v>
      </c>
      <c r="B366" t="s">
        <v>21</v>
      </c>
      <c r="C366">
        <v>4</v>
      </c>
      <c r="D366">
        <v>220.7</v>
      </c>
      <c r="E366">
        <v>2661.21</v>
      </c>
      <c r="F366">
        <v>72.55</v>
      </c>
      <c r="G366">
        <v>2389</v>
      </c>
      <c r="H366">
        <v>5.6</v>
      </c>
      <c r="I366">
        <v>0</v>
      </c>
      <c r="J366">
        <v>2020</v>
      </c>
      <c r="K366" t="s">
        <v>41</v>
      </c>
      <c r="L366" t="s">
        <v>15</v>
      </c>
      <c r="M366" t="str">
        <f>IF(J366&gt;2010,"Yes","No")</f>
        <v>Yes</v>
      </c>
      <c r="N366">
        <f>F366/D366</f>
        <v>0.328726778432261</v>
      </c>
      <c r="O366">
        <f>E366/D366</f>
        <v>12.058042591753512</v>
      </c>
    </row>
    <row r="367" spans="1:15" x14ac:dyDescent="0.3">
      <c r="A367" t="s">
        <v>467</v>
      </c>
      <c r="B367" t="s">
        <v>34</v>
      </c>
      <c r="C367">
        <v>3</v>
      </c>
      <c r="D367">
        <v>220.74</v>
      </c>
      <c r="E367">
        <v>2452.8200000000002</v>
      </c>
      <c r="F367">
        <v>64.680000000000007</v>
      </c>
      <c r="G367">
        <v>3299</v>
      </c>
      <c r="H367">
        <v>8.59</v>
      </c>
      <c r="I367">
        <v>1</v>
      </c>
      <c r="J367">
        <v>2000</v>
      </c>
      <c r="K367" t="s">
        <v>32</v>
      </c>
      <c r="L367" t="s">
        <v>23</v>
      </c>
      <c r="M367" t="str">
        <f>IF(J367&gt;2010,"Yes","No")</f>
        <v>No</v>
      </c>
      <c r="N367">
        <f>F367/D367</f>
        <v>0.29301440608861107</v>
      </c>
      <c r="O367">
        <f>E367/D367</f>
        <v>11.111805744314578</v>
      </c>
    </row>
    <row r="368" spans="1:15" x14ac:dyDescent="0.3">
      <c r="A368" t="s">
        <v>163</v>
      </c>
      <c r="B368" t="s">
        <v>34</v>
      </c>
      <c r="C368">
        <v>1</v>
      </c>
      <c r="D368">
        <v>221.49</v>
      </c>
      <c r="E368">
        <v>1156.78</v>
      </c>
      <c r="F368">
        <v>98.05</v>
      </c>
      <c r="G368">
        <v>4122</v>
      </c>
      <c r="H368">
        <v>1.51</v>
      </c>
      <c r="I368">
        <v>0</v>
      </c>
      <c r="J368">
        <v>2005</v>
      </c>
      <c r="K368" t="s">
        <v>18</v>
      </c>
      <c r="L368" t="s">
        <v>15</v>
      </c>
      <c r="M368" t="str">
        <f>IF(J368&gt;2010,"Yes","No")</f>
        <v>No</v>
      </c>
      <c r="N368">
        <f>F368/D368</f>
        <v>0.44268364260237481</v>
      </c>
      <c r="O368">
        <f>E368/D368</f>
        <v>5.2227188586392161</v>
      </c>
    </row>
    <row r="369" spans="1:15" x14ac:dyDescent="0.3">
      <c r="A369" t="s">
        <v>46</v>
      </c>
      <c r="B369" t="s">
        <v>34</v>
      </c>
      <c r="C369">
        <v>5</v>
      </c>
      <c r="D369">
        <v>222.64</v>
      </c>
      <c r="E369">
        <v>714.35</v>
      </c>
      <c r="F369">
        <v>87.44</v>
      </c>
      <c r="G369">
        <v>4642</v>
      </c>
      <c r="H369">
        <v>2.83</v>
      </c>
      <c r="I369">
        <v>0</v>
      </c>
      <c r="J369">
        <v>1995</v>
      </c>
      <c r="K369" t="s">
        <v>14</v>
      </c>
      <c r="L369" t="s">
        <v>15</v>
      </c>
      <c r="M369" t="str">
        <f>IF(J369&gt;2010,"Yes","No")</f>
        <v>No</v>
      </c>
      <c r="N369">
        <f>F369/D369</f>
        <v>0.39274164570607262</v>
      </c>
      <c r="O369">
        <f>E369/D369</f>
        <v>3.2085429392741647</v>
      </c>
    </row>
    <row r="370" spans="1:15" x14ac:dyDescent="0.3">
      <c r="A370" t="s">
        <v>208</v>
      </c>
      <c r="B370" t="s">
        <v>21</v>
      </c>
      <c r="C370">
        <v>2</v>
      </c>
      <c r="D370">
        <v>223.13</v>
      </c>
      <c r="E370">
        <v>1854.79</v>
      </c>
      <c r="F370">
        <v>45.22</v>
      </c>
      <c r="G370">
        <v>418</v>
      </c>
      <c r="H370">
        <v>9.82</v>
      </c>
      <c r="I370">
        <v>1</v>
      </c>
      <c r="J370">
        <v>2011</v>
      </c>
      <c r="K370" t="s">
        <v>32</v>
      </c>
      <c r="L370" t="s">
        <v>26</v>
      </c>
      <c r="M370" t="str">
        <f>IF(J370&gt;2010,"Yes","No")</f>
        <v>Yes</v>
      </c>
      <c r="N370">
        <f>F370/D370</f>
        <v>0.20266212521848251</v>
      </c>
      <c r="O370">
        <f>E370/D370</f>
        <v>8.3125980370187786</v>
      </c>
    </row>
    <row r="371" spans="1:15" x14ac:dyDescent="0.3">
      <c r="A371" t="s">
        <v>446</v>
      </c>
      <c r="B371" t="s">
        <v>75</v>
      </c>
      <c r="C371">
        <v>1</v>
      </c>
      <c r="D371">
        <v>223.41</v>
      </c>
      <c r="E371">
        <v>1952.39</v>
      </c>
      <c r="F371">
        <v>95.41</v>
      </c>
      <c r="G371">
        <v>1597</v>
      </c>
      <c r="H371">
        <v>4.18</v>
      </c>
      <c r="I371">
        <v>1</v>
      </c>
      <c r="J371">
        <v>2000</v>
      </c>
      <c r="K371" t="s">
        <v>28</v>
      </c>
      <c r="L371" t="s">
        <v>15</v>
      </c>
      <c r="M371" t="str">
        <f>IF(J371&gt;2010,"Yes","No")</f>
        <v>No</v>
      </c>
      <c r="N371">
        <f>F371/D371</f>
        <v>0.42706235173000312</v>
      </c>
      <c r="O371">
        <f>E371/D371</f>
        <v>8.739044805514526</v>
      </c>
    </row>
    <row r="372" spans="1:15" x14ac:dyDescent="0.3">
      <c r="A372" t="s">
        <v>146</v>
      </c>
      <c r="B372" t="s">
        <v>13</v>
      </c>
      <c r="C372">
        <v>1</v>
      </c>
      <c r="D372">
        <v>223.65</v>
      </c>
      <c r="E372">
        <v>2074.8000000000002</v>
      </c>
      <c r="F372">
        <v>62.48</v>
      </c>
      <c r="G372">
        <v>369</v>
      </c>
      <c r="H372">
        <v>1.39</v>
      </c>
      <c r="I372">
        <v>0</v>
      </c>
      <c r="J372">
        <v>1999</v>
      </c>
      <c r="K372" t="s">
        <v>18</v>
      </c>
      <c r="L372" t="s">
        <v>23</v>
      </c>
      <c r="M372" t="str">
        <f>IF(J372&gt;2010,"Yes","No")</f>
        <v>No</v>
      </c>
      <c r="N372">
        <f>F372/D372</f>
        <v>0.27936507936507932</v>
      </c>
      <c r="O372">
        <f>E372/D372</f>
        <v>9.2769953051643199</v>
      </c>
    </row>
    <row r="373" spans="1:15" x14ac:dyDescent="0.3">
      <c r="A373" t="s">
        <v>352</v>
      </c>
      <c r="B373" t="s">
        <v>21</v>
      </c>
      <c r="C373">
        <v>3</v>
      </c>
      <c r="D373">
        <v>223.88</v>
      </c>
      <c r="E373">
        <v>2433.2800000000002</v>
      </c>
      <c r="F373">
        <v>6.54</v>
      </c>
      <c r="G373">
        <v>3178</v>
      </c>
      <c r="H373">
        <v>4.17</v>
      </c>
      <c r="I373">
        <v>1</v>
      </c>
      <c r="J373">
        <v>2003</v>
      </c>
      <c r="K373" t="s">
        <v>28</v>
      </c>
      <c r="L373" t="s">
        <v>15</v>
      </c>
      <c r="M373" t="str">
        <f>IF(J373&gt;2010,"Yes","No")</f>
        <v>No</v>
      </c>
      <c r="N373">
        <f>F373/D373</f>
        <v>2.9212077898874398E-2</v>
      </c>
      <c r="O373">
        <f>E373/D373</f>
        <v>10.868679649812401</v>
      </c>
    </row>
    <row r="374" spans="1:15" x14ac:dyDescent="0.3">
      <c r="A374" t="s">
        <v>233</v>
      </c>
      <c r="B374" t="s">
        <v>17</v>
      </c>
      <c r="C374">
        <v>3</v>
      </c>
      <c r="D374">
        <v>224.49</v>
      </c>
      <c r="E374">
        <v>1295.3</v>
      </c>
      <c r="F374">
        <v>36.43</v>
      </c>
      <c r="G374">
        <v>4732</v>
      </c>
      <c r="H374">
        <v>7.83</v>
      </c>
      <c r="I374">
        <v>0</v>
      </c>
      <c r="J374">
        <v>1993</v>
      </c>
      <c r="K374" t="s">
        <v>41</v>
      </c>
      <c r="L374" t="s">
        <v>15</v>
      </c>
      <c r="M374" t="str">
        <f>IF(J374&gt;2010,"Yes","No")</f>
        <v>No</v>
      </c>
      <c r="N374">
        <f>F374/D374</f>
        <v>0.16227894338277873</v>
      </c>
      <c r="O374">
        <f>E374/D374</f>
        <v>5.7699674818477433</v>
      </c>
    </row>
    <row r="375" spans="1:15" x14ac:dyDescent="0.3">
      <c r="A375" t="s">
        <v>395</v>
      </c>
      <c r="B375" t="s">
        <v>39</v>
      </c>
      <c r="C375">
        <v>4</v>
      </c>
      <c r="D375">
        <v>224.87</v>
      </c>
      <c r="E375">
        <v>2452.0500000000002</v>
      </c>
      <c r="F375">
        <v>27.23</v>
      </c>
      <c r="G375">
        <v>3714</v>
      </c>
      <c r="H375">
        <v>7.88</v>
      </c>
      <c r="I375">
        <v>0</v>
      </c>
      <c r="J375">
        <v>2000</v>
      </c>
      <c r="K375" t="s">
        <v>18</v>
      </c>
      <c r="L375" t="s">
        <v>23</v>
      </c>
      <c r="M375" t="str">
        <f>IF(J375&gt;2010,"Yes","No")</f>
        <v>No</v>
      </c>
      <c r="N375">
        <f>F375/D375</f>
        <v>0.12109218659670032</v>
      </c>
      <c r="O375">
        <f>E375/D375</f>
        <v>10.904300262373816</v>
      </c>
    </row>
    <row r="376" spans="1:15" x14ac:dyDescent="0.3">
      <c r="A376" t="s">
        <v>304</v>
      </c>
      <c r="B376" t="s">
        <v>25</v>
      </c>
      <c r="C376">
        <v>4</v>
      </c>
      <c r="D376">
        <v>226.23</v>
      </c>
      <c r="E376">
        <v>2240.12</v>
      </c>
      <c r="F376">
        <v>40.89</v>
      </c>
      <c r="G376">
        <v>1129</v>
      </c>
      <c r="H376">
        <v>0.93</v>
      </c>
      <c r="I376">
        <v>1</v>
      </c>
      <c r="J376">
        <v>2014</v>
      </c>
      <c r="K376" t="s">
        <v>32</v>
      </c>
      <c r="L376" t="s">
        <v>15</v>
      </c>
      <c r="M376" t="str">
        <f>IF(J376&gt;2010,"Yes","No")</f>
        <v>Yes</v>
      </c>
      <c r="N376">
        <f>F376/D376</f>
        <v>0.18074525924943644</v>
      </c>
      <c r="O376">
        <f>E376/D376</f>
        <v>9.9019581841488744</v>
      </c>
    </row>
    <row r="377" spans="1:15" x14ac:dyDescent="0.3">
      <c r="A377" t="s">
        <v>287</v>
      </c>
      <c r="B377" t="s">
        <v>13</v>
      </c>
      <c r="C377">
        <v>4</v>
      </c>
      <c r="D377">
        <v>227.11</v>
      </c>
      <c r="E377">
        <v>2047.13</v>
      </c>
      <c r="F377">
        <v>3.21</v>
      </c>
      <c r="G377">
        <v>3904</v>
      </c>
      <c r="H377">
        <v>3.8</v>
      </c>
      <c r="I377">
        <v>0</v>
      </c>
      <c r="J377">
        <v>2005</v>
      </c>
      <c r="K377" t="s">
        <v>18</v>
      </c>
      <c r="L377" t="s">
        <v>23</v>
      </c>
      <c r="M377" t="str">
        <f>IF(J377&gt;2010,"Yes","No")</f>
        <v>No</v>
      </c>
      <c r="N377">
        <f>F377/D377</f>
        <v>1.4134120029941436E-2</v>
      </c>
      <c r="O377">
        <f>E377/D377</f>
        <v>9.0138258993439297</v>
      </c>
    </row>
    <row r="378" spans="1:15" x14ac:dyDescent="0.3">
      <c r="A378" t="s">
        <v>391</v>
      </c>
      <c r="B378" t="s">
        <v>34</v>
      </c>
      <c r="C378">
        <v>1</v>
      </c>
      <c r="D378">
        <v>227.24</v>
      </c>
      <c r="E378">
        <v>1751.73</v>
      </c>
      <c r="F378">
        <v>23.5</v>
      </c>
      <c r="G378">
        <v>4030</v>
      </c>
      <c r="H378">
        <v>8.74</v>
      </c>
      <c r="I378">
        <v>0</v>
      </c>
      <c r="J378">
        <v>1990</v>
      </c>
      <c r="K378" t="s">
        <v>14</v>
      </c>
      <c r="L378" t="s">
        <v>23</v>
      </c>
      <c r="M378" t="str">
        <f>IF(J378&gt;2010,"Yes","No")</f>
        <v>No</v>
      </c>
      <c r="N378">
        <f>F378/D378</f>
        <v>0.10341489174441119</v>
      </c>
      <c r="O378">
        <f>E378/D378</f>
        <v>7.7087220559760601</v>
      </c>
    </row>
    <row r="379" spans="1:15" x14ac:dyDescent="0.3">
      <c r="A379" t="s">
        <v>123</v>
      </c>
      <c r="B379" t="s">
        <v>75</v>
      </c>
      <c r="C379">
        <v>1</v>
      </c>
      <c r="D379">
        <v>227.64</v>
      </c>
      <c r="E379">
        <v>2905.87</v>
      </c>
      <c r="F379">
        <v>78.73</v>
      </c>
      <c r="G379">
        <v>2199</v>
      </c>
      <c r="H379">
        <v>8.1999999999999993</v>
      </c>
      <c r="I379">
        <v>1</v>
      </c>
      <c r="J379">
        <v>2011</v>
      </c>
      <c r="K379" t="s">
        <v>41</v>
      </c>
      <c r="L379" t="s">
        <v>23</v>
      </c>
      <c r="M379" t="str">
        <f>IF(J379&gt;2010,"Yes","No")</f>
        <v>Yes</v>
      </c>
      <c r="N379">
        <f>F379/D379</f>
        <v>0.34585310138815678</v>
      </c>
      <c r="O379">
        <f>E379/D379</f>
        <v>12.765199437708663</v>
      </c>
    </row>
    <row r="380" spans="1:15" x14ac:dyDescent="0.3">
      <c r="A380" t="s">
        <v>125</v>
      </c>
      <c r="B380" t="s">
        <v>13</v>
      </c>
      <c r="C380">
        <v>5</v>
      </c>
      <c r="D380">
        <v>227.83</v>
      </c>
      <c r="E380">
        <v>1090.83</v>
      </c>
      <c r="F380">
        <v>37.18</v>
      </c>
      <c r="G380">
        <v>2672</v>
      </c>
      <c r="H380">
        <v>2.79</v>
      </c>
      <c r="I380">
        <v>0</v>
      </c>
      <c r="J380">
        <v>2009</v>
      </c>
      <c r="K380" t="s">
        <v>28</v>
      </c>
      <c r="L380" t="s">
        <v>15</v>
      </c>
      <c r="M380" t="str">
        <f>IF(J380&gt;2010,"Yes","No")</f>
        <v>No</v>
      </c>
      <c r="N380">
        <f>F380/D380</f>
        <v>0.16319185357503402</v>
      </c>
      <c r="O380">
        <f>E380/D380</f>
        <v>4.7879120396787069</v>
      </c>
    </row>
    <row r="381" spans="1:15" x14ac:dyDescent="0.3">
      <c r="A381" t="s">
        <v>347</v>
      </c>
      <c r="B381" t="s">
        <v>25</v>
      </c>
      <c r="C381">
        <v>5</v>
      </c>
      <c r="D381">
        <v>228.15</v>
      </c>
      <c r="E381">
        <v>2418</v>
      </c>
      <c r="F381">
        <v>82.47</v>
      </c>
      <c r="G381">
        <v>2105</v>
      </c>
      <c r="H381">
        <v>8.67</v>
      </c>
      <c r="I381">
        <v>1</v>
      </c>
      <c r="J381">
        <v>2021</v>
      </c>
      <c r="K381" t="s">
        <v>28</v>
      </c>
      <c r="L381" t="s">
        <v>15</v>
      </c>
      <c r="M381" t="str">
        <f>IF(J381&gt;2010,"Yes","No")</f>
        <v>Yes</v>
      </c>
      <c r="N381">
        <f>F381/D381</f>
        <v>0.36147271531886915</v>
      </c>
      <c r="O381">
        <f>E381/D381</f>
        <v>10.598290598290598</v>
      </c>
    </row>
    <row r="382" spans="1:15" x14ac:dyDescent="0.3">
      <c r="A382" t="s">
        <v>468</v>
      </c>
      <c r="B382" t="s">
        <v>75</v>
      </c>
      <c r="C382">
        <v>5</v>
      </c>
      <c r="D382">
        <v>230.43</v>
      </c>
      <c r="E382">
        <v>2062.94</v>
      </c>
      <c r="F382">
        <v>88.82</v>
      </c>
      <c r="G382">
        <v>1762</v>
      </c>
      <c r="H382">
        <v>6.77</v>
      </c>
      <c r="I382">
        <v>0</v>
      </c>
      <c r="J382">
        <v>2017</v>
      </c>
      <c r="K382" t="s">
        <v>41</v>
      </c>
      <c r="L382" t="s">
        <v>15</v>
      </c>
      <c r="M382" t="str">
        <f>IF(J382&gt;2010,"Yes","No")</f>
        <v>Yes</v>
      </c>
      <c r="N382">
        <f>F382/D382</f>
        <v>0.38545328299266585</v>
      </c>
      <c r="O382">
        <f>E382/D382</f>
        <v>8.9525669400685679</v>
      </c>
    </row>
    <row r="383" spans="1:15" x14ac:dyDescent="0.3">
      <c r="A383" t="s">
        <v>307</v>
      </c>
      <c r="B383" t="s">
        <v>30</v>
      </c>
      <c r="C383">
        <v>1</v>
      </c>
      <c r="D383">
        <v>231.37</v>
      </c>
      <c r="E383">
        <v>2377.66</v>
      </c>
      <c r="F383">
        <v>23.35</v>
      </c>
      <c r="G383">
        <v>1383</v>
      </c>
      <c r="H383">
        <v>8.19</v>
      </c>
      <c r="I383">
        <v>0</v>
      </c>
      <c r="J383">
        <v>1998</v>
      </c>
      <c r="K383" t="s">
        <v>32</v>
      </c>
      <c r="L383" t="s">
        <v>23</v>
      </c>
      <c r="M383" t="str">
        <f>IF(J383&gt;2010,"Yes","No")</f>
        <v>No</v>
      </c>
      <c r="N383">
        <f>F383/D383</f>
        <v>0.10092060336257942</v>
      </c>
      <c r="O383">
        <f>E383/D383</f>
        <v>10.276440333664691</v>
      </c>
    </row>
    <row r="384" spans="1:15" x14ac:dyDescent="0.3">
      <c r="A384" t="s">
        <v>76</v>
      </c>
      <c r="B384" t="s">
        <v>34</v>
      </c>
      <c r="C384">
        <v>2</v>
      </c>
      <c r="D384">
        <v>231.39</v>
      </c>
      <c r="E384">
        <v>2903.05</v>
      </c>
      <c r="F384">
        <v>30.01</v>
      </c>
      <c r="G384">
        <v>345</v>
      </c>
      <c r="H384">
        <v>7.65</v>
      </c>
      <c r="I384">
        <v>1</v>
      </c>
      <c r="J384">
        <v>2017</v>
      </c>
      <c r="K384" t="s">
        <v>18</v>
      </c>
      <c r="L384" t="s">
        <v>15</v>
      </c>
      <c r="M384" t="str">
        <f>IF(J384&gt;2010,"Yes","No")</f>
        <v>Yes</v>
      </c>
      <c r="N384">
        <f>F384/D384</f>
        <v>0.12969445524871431</v>
      </c>
      <c r="O384">
        <f>E384/D384</f>
        <v>12.546134232248587</v>
      </c>
    </row>
    <row r="385" spans="1:15" x14ac:dyDescent="0.3">
      <c r="A385" t="s">
        <v>82</v>
      </c>
      <c r="B385" t="s">
        <v>25</v>
      </c>
      <c r="C385">
        <v>1</v>
      </c>
      <c r="D385">
        <v>231.41</v>
      </c>
      <c r="E385">
        <v>2297.0300000000002</v>
      </c>
      <c r="F385">
        <v>99.11</v>
      </c>
      <c r="G385">
        <v>363</v>
      </c>
      <c r="H385">
        <v>3.03</v>
      </c>
      <c r="I385">
        <v>1</v>
      </c>
      <c r="J385">
        <v>2013</v>
      </c>
      <c r="K385" t="s">
        <v>28</v>
      </c>
      <c r="L385" t="s">
        <v>15</v>
      </c>
      <c r="M385" t="str">
        <f>IF(J385&gt;2010,"Yes","No")</f>
        <v>Yes</v>
      </c>
      <c r="N385">
        <f>F385/D385</f>
        <v>0.4282874551661553</v>
      </c>
      <c r="O385">
        <f>E385/D385</f>
        <v>9.9262348213128231</v>
      </c>
    </row>
    <row r="386" spans="1:15" x14ac:dyDescent="0.3">
      <c r="A386" t="s">
        <v>310</v>
      </c>
      <c r="B386" t="s">
        <v>21</v>
      </c>
      <c r="C386">
        <v>3</v>
      </c>
      <c r="D386">
        <v>231.41</v>
      </c>
      <c r="E386">
        <v>2997.22</v>
      </c>
      <c r="F386">
        <v>89.89</v>
      </c>
      <c r="G386">
        <v>231</v>
      </c>
      <c r="H386">
        <v>9.9600000000000009</v>
      </c>
      <c r="I386">
        <v>1</v>
      </c>
      <c r="J386">
        <v>1998</v>
      </c>
      <c r="K386" t="s">
        <v>32</v>
      </c>
      <c r="L386" t="s">
        <v>15</v>
      </c>
      <c r="M386" t="str">
        <f>IF(J386&gt;2010,"Yes","No")</f>
        <v>No</v>
      </c>
      <c r="N386">
        <f>F386/D386</f>
        <v>0.38844475173933712</v>
      </c>
      <c r="O386">
        <f>E386/D386</f>
        <v>12.951989974504126</v>
      </c>
    </row>
    <row r="387" spans="1:15" x14ac:dyDescent="0.3">
      <c r="A387" t="s">
        <v>337</v>
      </c>
      <c r="B387" t="s">
        <v>17</v>
      </c>
      <c r="C387">
        <v>3</v>
      </c>
      <c r="D387">
        <v>231.96</v>
      </c>
      <c r="E387">
        <v>2420.2600000000002</v>
      </c>
      <c r="F387">
        <v>53.31</v>
      </c>
      <c r="G387">
        <v>1466</v>
      </c>
      <c r="H387">
        <v>4.03</v>
      </c>
      <c r="I387">
        <v>0</v>
      </c>
      <c r="J387">
        <v>2011</v>
      </c>
      <c r="K387" t="s">
        <v>32</v>
      </c>
      <c r="L387" t="s">
        <v>26</v>
      </c>
      <c r="M387" t="str">
        <f>IF(J387&gt;2010,"Yes","No")</f>
        <v>Yes</v>
      </c>
      <c r="N387">
        <f>F387/D387</f>
        <v>0.22982410760475944</v>
      </c>
      <c r="O387">
        <f>E387/D387</f>
        <v>10.433954130022418</v>
      </c>
    </row>
    <row r="388" spans="1:15" x14ac:dyDescent="0.3">
      <c r="A388" t="s">
        <v>27</v>
      </c>
      <c r="B388" t="s">
        <v>21</v>
      </c>
      <c r="C388">
        <v>4</v>
      </c>
      <c r="D388">
        <v>232.26</v>
      </c>
      <c r="E388">
        <v>1039.51</v>
      </c>
      <c r="F388">
        <v>38.6</v>
      </c>
      <c r="G388">
        <v>1404</v>
      </c>
      <c r="H388">
        <v>0.1</v>
      </c>
      <c r="I388">
        <v>0</v>
      </c>
      <c r="J388">
        <v>2016</v>
      </c>
      <c r="K388" t="s">
        <v>28</v>
      </c>
      <c r="L388" t="s">
        <v>15</v>
      </c>
      <c r="M388" t="str">
        <f>IF(J388&gt;2010,"Yes","No")</f>
        <v>Yes</v>
      </c>
      <c r="N388">
        <f>F388/D388</f>
        <v>0.16619305950228194</v>
      </c>
      <c r="O388">
        <f>E388/D388</f>
        <v>4.4756307586325672</v>
      </c>
    </row>
    <row r="389" spans="1:15" x14ac:dyDescent="0.3">
      <c r="A389" t="s">
        <v>403</v>
      </c>
      <c r="B389" t="s">
        <v>30</v>
      </c>
      <c r="C389">
        <v>2</v>
      </c>
      <c r="D389">
        <v>232.85</v>
      </c>
      <c r="E389">
        <v>3004.13</v>
      </c>
      <c r="F389">
        <v>60.45</v>
      </c>
      <c r="G389">
        <v>4431</v>
      </c>
      <c r="H389">
        <v>8.31</v>
      </c>
      <c r="I389">
        <v>1</v>
      </c>
      <c r="J389">
        <v>1990</v>
      </c>
      <c r="K389" t="s">
        <v>32</v>
      </c>
      <c r="L389" t="s">
        <v>15</v>
      </c>
      <c r="M389" t="str">
        <f>IF(J389&gt;2010,"Yes","No")</f>
        <v>No</v>
      </c>
      <c r="N389">
        <f>F389/D389</f>
        <v>0.25960919046596526</v>
      </c>
      <c r="O389">
        <f>E389/D389</f>
        <v>12.901567532746403</v>
      </c>
    </row>
    <row r="390" spans="1:15" x14ac:dyDescent="0.3">
      <c r="A390" t="s">
        <v>486</v>
      </c>
      <c r="B390" t="s">
        <v>34</v>
      </c>
      <c r="C390">
        <v>2</v>
      </c>
      <c r="D390">
        <v>232.91</v>
      </c>
      <c r="E390">
        <v>2206.75</v>
      </c>
      <c r="F390">
        <v>91.02</v>
      </c>
      <c r="G390">
        <v>2748</v>
      </c>
      <c r="H390">
        <v>4.9000000000000004</v>
      </c>
      <c r="I390">
        <v>0</v>
      </c>
      <c r="J390">
        <v>2004</v>
      </c>
      <c r="K390" t="s">
        <v>18</v>
      </c>
      <c r="L390" t="s">
        <v>15</v>
      </c>
      <c r="M390" t="str">
        <f>IF(J390&gt;2010,"Yes","No")</f>
        <v>No</v>
      </c>
      <c r="N390">
        <f>F390/D390</f>
        <v>0.3907947275771757</v>
      </c>
      <c r="O390">
        <f>E390/D390</f>
        <v>9.4746897943411614</v>
      </c>
    </row>
    <row r="391" spans="1:15" x14ac:dyDescent="0.3">
      <c r="A391" t="s">
        <v>36</v>
      </c>
      <c r="B391" t="s">
        <v>34</v>
      </c>
      <c r="C391">
        <v>2</v>
      </c>
      <c r="D391">
        <v>234.04</v>
      </c>
      <c r="E391">
        <v>1207.68</v>
      </c>
      <c r="F391">
        <v>66.34</v>
      </c>
      <c r="G391">
        <v>1183</v>
      </c>
      <c r="H391">
        <v>5</v>
      </c>
      <c r="I391">
        <v>0</v>
      </c>
      <c r="J391">
        <v>2011</v>
      </c>
      <c r="K391" t="s">
        <v>14</v>
      </c>
      <c r="L391" t="s">
        <v>15</v>
      </c>
      <c r="M391" t="str">
        <f>IF(J391&gt;2010,"Yes","No")</f>
        <v>Yes</v>
      </c>
      <c r="N391">
        <f>F391/D391</f>
        <v>0.28345581951803112</v>
      </c>
      <c r="O391">
        <f>E391/D391</f>
        <v>5.1601435652025298</v>
      </c>
    </row>
    <row r="392" spans="1:15" x14ac:dyDescent="0.3">
      <c r="A392" t="s">
        <v>526</v>
      </c>
      <c r="B392" t="s">
        <v>21</v>
      </c>
      <c r="C392">
        <v>5</v>
      </c>
      <c r="D392">
        <v>234.65</v>
      </c>
      <c r="E392">
        <v>2814.52</v>
      </c>
      <c r="F392">
        <v>53.16</v>
      </c>
      <c r="G392">
        <v>4972</v>
      </c>
      <c r="H392">
        <v>5.53</v>
      </c>
      <c r="I392">
        <v>0</v>
      </c>
      <c r="J392">
        <v>2011</v>
      </c>
      <c r="K392" t="s">
        <v>14</v>
      </c>
      <c r="L392" t="s">
        <v>15</v>
      </c>
      <c r="M392" t="str">
        <f>IF(J392&gt;2010,"Yes","No")</f>
        <v>Yes</v>
      </c>
      <c r="N392">
        <f>F392/D392</f>
        <v>0.22655018112081823</v>
      </c>
      <c r="O392">
        <f>E392/D392</f>
        <v>11.994545067121244</v>
      </c>
    </row>
    <row r="393" spans="1:15" x14ac:dyDescent="0.3">
      <c r="A393" t="s">
        <v>428</v>
      </c>
      <c r="B393" t="s">
        <v>17</v>
      </c>
      <c r="C393">
        <v>4</v>
      </c>
      <c r="D393">
        <v>235.14</v>
      </c>
      <c r="E393">
        <v>1706.67</v>
      </c>
      <c r="F393">
        <v>81.84</v>
      </c>
      <c r="G393">
        <v>3876</v>
      </c>
      <c r="H393">
        <v>8.83</v>
      </c>
      <c r="I393">
        <v>0</v>
      </c>
      <c r="J393">
        <v>2008</v>
      </c>
      <c r="K393" t="s">
        <v>32</v>
      </c>
      <c r="L393" t="s">
        <v>15</v>
      </c>
      <c r="M393" t="str">
        <f>IF(J393&gt;2010,"Yes","No")</f>
        <v>No</v>
      </c>
      <c r="N393">
        <f>F393/D393</f>
        <v>0.34804797142128097</v>
      </c>
      <c r="O393">
        <f>E393/D393</f>
        <v>7.258101556519521</v>
      </c>
    </row>
    <row r="394" spans="1:15" x14ac:dyDescent="0.3">
      <c r="A394" t="s">
        <v>434</v>
      </c>
      <c r="B394" t="s">
        <v>34</v>
      </c>
      <c r="C394">
        <v>3</v>
      </c>
      <c r="D394">
        <v>235.26</v>
      </c>
      <c r="E394">
        <v>939.02</v>
      </c>
      <c r="F394">
        <v>4.58</v>
      </c>
      <c r="G394">
        <v>3517</v>
      </c>
      <c r="H394">
        <v>3.18</v>
      </c>
      <c r="I394">
        <v>0</v>
      </c>
      <c r="J394">
        <v>2002</v>
      </c>
      <c r="K394" t="s">
        <v>18</v>
      </c>
      <c r="L394" t="s">
        <v>15</v>
      </c>
      <c r="M394" t="str">
        <f>IF(J394&gt;2010,"Yes","No")</f>
        <v>No</v>
      </c>
      <c r="N394">
        <f>F394/D394</f>
        <v>1.9467822834310977E-2</v>
      </c>
      <c r="O394">
        <f>E394/D394</f>
        <v>3.9914137549944742</v>
      </c>
    </row>
    <row r="395" spans="1:15" x14ac:dyDescent="0.3">
      <c r="A395" t="s">
        <v>305</v>
      </c>
      <c r="B395" t="s">
        <v>21</v>
      </c>
      <c r="C395">
        <v>3</v>
      </c>
      <c r="D395">
        <v>236.75</v>
      </c>
      <c r="E395">
        <v>2072.1</v>
      </c>
      <c r="F395">
        <v>75.95</v>
      </c>
      <c r="G395">
        <v>2592</v>
      </c>
      <c r="H395">
        <v>8.09</v>
      </c>
      <c r="I395">
        <v>0</v>
      </c>
      <c r="J395">
        <v>1991</v>
      </c>
      <c r="K395" t="s">
        <v>41</v>
      </c>
      <c r="L395" t="s">
        <v>23</v>
      </c>
      <c r="M395" t="str">
        <f>IF(J395&gt;2010,"Yes","No")</f>
        <v>No</v>
      </c>
      <c r="N395">
        <f>F395/D395</f>
        <v>0.32080253431890182</v>
      </c>
      <c r="O395">
        <f>E395/D395</f>
        <v>8.7522703273495246</v>
      </c>
    </row>
    <row r="396" spans="1:15" x14ac:dyDescent="0.3">
      <c r="A396" t="s">
        <v>118</v>
      </c>
      <c r="B396" t="s">
        <v>25</v>
      </c>
      <c r="C396">
        <v>1</v>
      </c>
      <c r="D396">
        <v>237.11</v>
      </c>
      <c r="E396">
        <v>2135.2600000000002</v>
      </c>
      <c r="F396">
        <v>28.35</v>
      </c>
      <c r="G396">
        <v>981</v>
      </c>
      <c r="H396">
        <v>6.44</v>
      </c>
      <c r="I396">
        <v>0</v>
      </c>
      <c r="J396">
        <v>2008</v>
      </c>
      <c r="K396" t="s">
        <v>14</v>
      </c>
      <c r="L396" t="s">
        <v>15</v>
      </c>
      <c r="M396" t="str">
        <f>IF(J396&gt;2010,"Yes","No")</f>
        <v>No</v>
      </c>
      <c r="N396">
        <f>F396/D396</f>
        <v>0.11956475897262873</v>
      </c>
      <c r="O396">
        <f>E396/D396</f>
        <v>9.0053561638058284</v>
      </c>
    </row>
    <row r="397" spans="1:15" x14ac:dyDescent="0.3">
      <c r="A397" t="s">
        <v>477</v>
      </c>
      <c r="B397" t="s">
        <v>17</v>
      </c>
      <c r="C397">
        <v>2</v>
      </c>
      <c r="D397">
        <v>237.99</v>
      </c>
      <c r="E397">
        <v>1345.3</v>
      </c>
      <c r="F397">
        <v>53.05</v>
      </c>
      <c r="G397">
        <v>2385</v>
      </c>
      <c r="H397">
        <v>4.7</v>
      </c>
      <c r="I397">
        <v>0</v>
      </c>
      <c r="J397">
        <v>2003</v>
      </c>
      <c r="K397" t="s">
        <v>28</v>
      </c>
      <c r="L397" t="s">
        <v>26</v>
      </c>
      <c r="M397" t="str">
        <f>IF(J397&gt;2010,"Yes","No")</f>
        <v>No</v>
      </c>
      <c r="N397">
        <f>F397/D397</f>
        <v>0.22290852556830118</v>
      </c>
      <c r="O397">
        <f>E397/D397</f>
        <v>5.6527585192655145</v>
      </c>
    </row>
    <row r="398" spans="1:15" x14ac:dyDescent="0.3">
      <c r="A398" t="s">
        <v>145</v>
      </c>
      <c r="B398" t="s">
        <v>21</v>
      </c>
      <c r="C398">
        <v>4</v>
      </c>
      <c r="D398">
        <v>238.7</v>
      </c>
      <c r="E398">
        <v>2484.44</v>
      </c>
      <c r="F398">
        <v>78.790000000000006</v>
      </c>
      <c r="G398">
        <v>907</v>
      </c>
      <c r="H398">
        <v>6.36</v>
      </c>
      <c r="I398">
        <v>0</v>
      </c>
      <c r="J398">
        <v>2014</v>
      </c>
      <c r="K398" t="s">
        <v>32</v>
      </c>
      <c r="L398" t="s">
        <v>15</v>
      </c>
      <c r="M398" t="str">
        <f>IF(J398&gt;2010,"Yes","No")</f>
        <v>Yes</v>
      </c>
      <c r="N398">
        <f>F398/D398</f>
        <v>0.33007959782153334</v>
      </c>
      <c r="O398">
        <f>E398/D398</f>
        <v>10.408211143695015</v>
      </c>
    </row>
    <row r="399" spans="1:15" x14ac:dyDescent="0.3">
      <c r="A399" t="s">
        <v>366</v>
      </c>
      <c r="B399" t="s">
        <v>75</v>
      </c>
      <c r="C399">
        <v>5</v>
      </c>
      <c r="D399">
        <v>239.14</v>
      </c>
      <c r="E399">
        <v>1918.61</v>
      </c>
      <c r="F399">
        <v>65.92</v>
      </c>
      <c r="G399">
        <v>4271</v>
      </c>
      <c r="H399">
        <v>4.1399999999999997</v>
      </c>
      <c r="I399">
        <v>0</v>
      </c>
      <c r="J399">
        <v>2016</v>
      </c>
      <c r="K399" t="s">
        <v>28</v>
      </c>
      <c r="L399" t="s">
        <v>15</v>
      </c>
      <c r="M399" t="str">
        <f>IF(J399&gt;2010,"Yes","No")</f>
        <v>Yes</v>
      </c>
      <c r="N399">
        <f>F399/D399</f>
        <v>0.27565442836831983</v>
      </c>
      <c r="O399">
        <f>E399/D399</f>
        <v>8.0229572635276405</v>
      </c>
    </row>
    <row r="400" spans="1:15" x14ac:dyDescent="0.3">
      <c r="A400" t="s">
        <v>200</v>
      </c>
      <c r="B400" t="s">
        <v>39</v>
      </c>
      <c r="C400">
        <v>3</v>
      </c>
      <c r="D400">
        <v>239.5</v>
      </c>
      <c r="E400">
        <v>2552</v>
      </c>
      <c r="F400">
        <v>55.84</v>
      </c>
      <c r="G400">
        <v>261</v>
      </c>
      <c r="H400">
        <v>6.29</v>
      </c>
      <c r="I400">
        <v>1</v>
      </c>
      <c r="J400">
        <v>2002</v>
      </c>
      <c r="K400" t="s">
        <v>41</v>
      </c>
      <c r="L400" t="s">
        <v>15</v>
      </c>
      <c r="M400" t="str">
        <f>IF(J400&gt;2010,"Yes","No")</f>
        <v>No</v>
      </c>
      <c r="N400">
        <f>F400/D400</f>
        <v>0.23315240083507308</v>
      </c>
      <c r="O400">
        <f>E400/D400</f>
        <v>10.65553235908142</v>
      </c>
    </row>
    <row r="401" spans="1:15" x14ac:dyDescent="0.3">
      <c r="A401" t="s">
        <v>220</v>
      </c>
      <c r="B401" t="s">
        <v>17</v>
      </c>
      <c r="C401">
        <v>2</v>
      </c>
      <c r="D401">
        <v>240.33</v>
      </c>
      <c r="E401">
        <v>2439.11</v>
      </c>
      <c r="F401">
        <v>19.66</v>
      </c>
      <c r="G401">
        <v>3649</v>
      </c>
      <c r="H401">
        <v>6.09</v>
      </c>
      <c r="I401">
        <v>1</v>
      </c>
      <c r="J401">
        <v>2008</v>
      </c>
      <c r="K401" t="s">
        <v>28</v>
      </c>
      <c r="L401" t="s">
        <v>15</v>
      </c>
      <c r="M401" t="str">
        <f>IF(J401&gt;2010,"Yes","No")</f>
        <v>No</v>
      </c>
      <c r="N401">
        <f>F401/D401</f>
        <v>8.1804185911038982E-2</v>
      </c>
      <c r="O401">
        <f>E401/D401</f>
        <v>10.149003453584655</v>
      </c>
    </row>
    <row r="402" spans="1:15" x14ac:dyDescent="0.3">
      <c r="A402" t="s">
        <v>160</v>
      </c>
      <c r="B402" t="s">
        <v>17</v>
      </c>
      <c r="C402">
        <v>2</v>
      </c>
      <c r="D402">
        <v>241.29</v>
      </c>
      <c r="E402">
        <v>1258.33</v>
      </c>
      <c r="F402">
        <v>8.98</v>
      </c>
      <c r="G402">
        <v>2772</v>
      </c>
      <c r="H402">
        <v>3.51</v>
      </c>
      <c r="I402">
        <v>1</v>
      </c>
      <c r="J402">
        <v>2001</v>
      </c>
      <c r="K402" t="s">
        <v>41</v>
      </c>
      <c r="L402" t="s">
        <v>23</v>
      </c>
      <c r="M402" t="str">
        <f>IF(J402&gt;2010,"Yes","No")</f>
        <v>No</v>
      </c>
      <c r="N402">
        <f>F402/D402</f>
        <v>3.7216627294956277E-2</v>
      </c>
      <c r="O402">
        <f>E402/D402</f>
        <v>5.2150109826350031</v>
      </c>
    </row>
    <row r="403" spans="1:15" x14ac:dyDescent="0.3">
      <c r="A403" t="s">
        <v>116</v>
      </c>
      <c r="B403" t="s">
        <v>75</v>
      </c>
      <c r="C403">
        <v>2</v>
      </c>
      <c r="D403">
        <v>242.33</v>
      </c>
      <c r="E403">
        <v>2595.58</v>
      </c>
      <c r="F403">
        <v>47.26</v>
      </c>
      <c r="G403">
        <v>1515</v>
      </c>
      <c r="H403">
        <v>3.17</v>
      </c>
      <c r="I403">
        <v>1</v>
      </c>
      <c r="J403">
        <v>1993</v>
      </c>
      <c r="K403" t="s">
        <v>41</v>
      </c>
      <c r="L403" t="s">
        <v>15</v>
      </c>
      <c r="M403" t="str">
        <f>IF(J403&gt;2010,"Yes","No")</f>
        <v>No</v>
      </c>
      <c r="N403">
        <f>F403/D403</f>
        <v>0.19502331531382824</v>
      </c>
      <c r="O403">
        <f>E403/D403</f>
        <v>10.710931374571864</v>
      </c>
    </row>
    <row r="404" spans="1:15" x14ac:dyDescent="0.3">
      <c r="A404" t="s">
        <v>58</v>
      </c>
      <c r="B404" t="s">
        <v>21</v>
      </c>
      <c r="C404">
        <v>1</v>
      </c>
      <c r="D404">
        <v>244.61</v>
      </c>
      <c r="E404">
        <v>2885.12</v>
      </c>
      <c r="F404">
        <v>63.69</v>
      </c>
      <c r="G404">
        <v>2161</v>
      </c>
      <c r="H404">
        <v>7.54</v>
      </c>
      <c r="I404">
        <v>0</v>
      </c>
      <c r="J404">
        <v>2009</v>
      </c>
      <c r="K404" t="s">
        <v>28</v>
      </c>
      <c r="L404" t="s">
        <v>15</v>
      </c>
      <c r="M404" t="str">
        <f>IF(J404&gt;2010,"Yes","No")</f>
        <v>No</v>
      </c>
      <c r="N404">
        <f>F404/D404</f>
        <v>0.26037365602387469</v>
      </c>
      <c r="O404">
        <f>E404/D404</f>
        <v>11.794775356690241</v>
      </c>
    </row>
    <row r="405" spans="1:15" x14ac:dyDescent="0.3">
      <c r="A405" t="s">
        <v>296</v>
      </c>
      <c r="B405" t="s">
        <v>75</v>
      </c>
      <c r="C405">
        <v>5</v>
      </c>
      <c r="D405">
        <v>245.69</v>
      </c>
      <c r="E405">
        <v>3150.93</v>
      </c>
      <c r="F405">
        <v>7.36</v>
      </c>
      <c r="G405">
        <v>527</v>
      </c>
      <c r="H405">
        <v>6.21</v>
      </c>
      <c r="I405">
        <v>0</v>
      </c>
      <c r="J405">
        <v>2002</v>
      </c>
      <c r="K405" t="s">
        <v>18</v>
      </c>
      <c r="L405" t="s">
        <v>23</v>
      </c>
      <c r="M405" t="str">
        <f>IF(J405&gt;2010,"Yes","No")</f>
        <v>No</v>
      </c>
      <c r="N405">
        <f>F405/D405</f>
        <v>2.9956449183930971E-2</v>
      </c>
      <c r="O405">
        <f>E405/D405</f>
        <v>12.82481989498962</v>
      </c>
    </row>
    <row r="406" spans="1:15" x14ac:dyDescent="0.3">
      <c r="A406" t="s">
        <v>325</v>
      </c>
      <c r="B406" t="s">
        <v>13</v>
      </c>
      <c r="C406">
        <v>1</v>
      </c>
      <c r="D406">
        <v>245.73</v>
      </c>
      <c r="E406">
        <v>1556.22</v>
      </c>
      <c r="F406">
        <v>2.81</v>
      </c>
      <c r="G406">
        <v>2673</v>
      </c>
      <c r="H406">
        <v>3.61</v>
      </c>
      <c r="I406">
        <v>0</v>
      </c>
      <c r="J406">
        <v>2017</v>
      </c>
      <c r="K406" t="s">
        <v>18</v>
      </c>
      <c r="L406" t="s">
        <v>23</v>
      </c>
      <c r="M406" t="str">
        <f>IF(J406&gt;2010,"Yes","No")</f>
        <v>Yes</v>
      </c>
      <c r="N406">
        <f>F406/D406</f>
        <v>1.14353151833313E-2</v>
      </c>
      <c r="O406">
        <f>E406/D406</f>
        <v>6.3330484678305465</v>
      </c>
    </row>
    <row r="407" spans="1:15" x14ac:dyDescent="0.3">
      <c r="A407" t="s">
        <v>282</v>
      </c>
      <c r="B407" t="s">
        <v>34</v>
      </c>
      <c r="C407">
        <v>2</v>
      </c>
      <c r="D407">
        <v>246.07</v>
      </c>
      <c r="E407">
        <v>1215.8699999999999</v>
      </c>
      <c r="F407">
        <v>57.77</v>
      </c>
      <c r="G407">
        <v>2676</v>
      </c>
      <c r="H407">
        <v>2.21</v>
      </c>
      <c r="I407">
        <v>0</v>
      </c>
      <c r="J407">
        <v>1992</v>
      </c>
      <c r="K407" t="s">
        <v>41</v>
      </c>
      <c r="L407" t="s">
        <v>15</v>
      </c>
      <c r="M407" t="str">
        <f>IF(J407&gt;2010,"Yes","No")</f>
        <v>No</v>
      </c>
      <c r="N407">
        <f>F407/D407</f>
        <v>0.23477059373349049</v>
      </c>
      <c r="O407">
        <f>E407/D407</f>
        <v>4.9411549559068551</v>
      </c>
    </row>
    <row r="408" spans="1:15" x14ac:dyDescent="0.3">
      <c r="A408" t="s">
        <v>415</v>
      </c>
      <c r="B408" t="s">
        <v>39</v>
      </c>
      <c r="C408">
        <v>1</v>
      </c>
      <c r="D408">
        <v>246.52</v>
      </c>
      <c r="E408">
        <v>852.04</v>
      </c>
      <c r="F408">
        <v>85.43</v>
      </c>
      <c r="G408">
        <v>2662</v>
      </c>
      <c r="H408">
        <v>7.25</v>
      </c>
      <c r="I408">
        <v>0</v>
      </c>
      <c r="J408">
        <v>2016</v>
      </c>
      <c r="K408" t="s">
        <v>18</v>
      </c>
      <c r="L408" t="s">
        <v>15</v>
      </c>
      <c r="M408" t="str">
        <f>IF(J408&gt;2010,"Yes","No")</f>
        <v>Yes</v>
      </c>
      <c r="N408">
        <f>F408/D408</f>
        <v>0.34654389096219373</v>
      </c>
      <c r="O408">
        <f>E408/D408</f>
        <v>3.4562712964465354</v>
      </c>
    </row>
    <row r="409" spans="1:15" x14ac:dyDescent="0.3">
      <c r="A409" t="s">
        <v>323</v>
      </c>
      <c r="B409" t="s">
        <v>13</v>
      </c>
      <c r="C409">
        <v>5</v>
      </c>
      <c r="D409">
        <v>246.54</v>
      </c>
      <c r="E409">
        <v>3510.09</v>
      </c>
      <c r="F409">
        <v>1.9</v>
      </c>
      <c r="G409">
        <v>2021</v>
      </c>
      <c r="H409">
        <v>0.86</v>
      </c>
      <c r="I409">
        <v>0</v>
      </c>
      <c r="J409">
        <v>2004</v>
      </c>
      <c r="K409" t="s">
        <v>14</v>
      </c>
      <c r="L409" t="s">
        <v>15</v>
      </c>
      <c r="M409" t="str">
        <f>IF(J409&gt;2010,"Yes","No")</f>
        <v>No</v>
      </c>
      <c r="N409">
        <f>F409/D409</f>
        <v>7.7066601768475702E-3</v>
      </c>
      <c r="O409">
        <f>E409/D409</f>
        <v>14.237405694816259</v>
      </c>
    </row>
    <row r="410" spans="1:15" x14ac:dyDescent="0.3">
      <c r="A410" t="s">
        <v>56</v>
      </c>
      <c r="B410" t="s">
        <v>34</v>
      </c>
      <c r="C410">
        <v>3</v>
      </c>
      <c r="D410">
        <v>246.86</v>
      </c>
      <c r="E410">
        <v>1165.8</v>
      </c>
      <c r="F410">
        <v>2.39</v>
      </c>
      <c r="G410">
        <v>4159</v>
      </c>
      <c r="H410">
        <v>0.37</v>
      </c>
      <c r="I410">
        <v>0</v>
      </c>
      <c r="J410">
        <v>2006</v>
      </c>
      <c r="K410" t="s">
        <v>32</v>
      </c>
      <c r="L410" t="s">
        <v>23</v>
      </c>
      <c r="M410" t="str">
        <f>IF(J410&gt;2010,"Yes","No")</f>
        <v>No</v>
      </c>
      <c r="N410">
        <f>F410/D410</f>
        <v>9.6816009073969044E-3</v>
      </c>
      <c r="O410">
        <f>E410/D410</f>
        <v>4.7225147857084986</v>
      </c>
    </row>
    <row r="411" spans="1:15" x14ac:dyDescent="0.3">
      <c r="A411" t="s">
        <v>409</v>
      </c>
      <c r="B411" t="s">
        <v>39</v>
      </c>
      <c r="C411">
        <v>1</v>
      </c>
      <c r="D411">
        <v>247.44</v>
      </c>
      <c r="E411">
        <v>2080.34</v>
      </c>
      <c r="F411">
        <v>62.29</v>
      </c>
      <c r="G411">
        <v>648</v>
      </c>
      <c r="H411">
        <v>4.67</v>
      </c>
      <c r="I411">
        <v>0</v>
      </c>
      <c r="J411">
        <v>1995</v>
      </c>
      <c r="K411" t="s">
        <v>41</v>
      </c>
      <c r="L411" t="s">
        <v>15</v>
      </c>
      <c r="M411" t="str">
        <f>IF(J411&gt;2010,"Yes","No")</f>
        <v>No</v>
      </c>
      <c r="N411">
        <f>F411/D411</f>
        <v>0.25173779502101518</v>
      </c>
      <c r="O411">
        <f>E411/D411</f>
        <v>8.4074523116715163</v>
      </c>
    </row>
    <row r="412" spans="1:15" x14ac:dyDescent="0.3">
      <c r="A412" t="s">
        <v>16</v>
      </c>
      <c r="B412" t="s">
        <v>17</v>
      </c>
      <c r="C412">
        <v>1</v>
      </c>
      <c r="D412">
        <v>247.62</v>
      </c>
      <c r="E412">
        <v>3310.83</v>
      </c>
      <c r="F412">
        <v>75.650000000000006</v>
      </c>
      <c r="G412">
        <v>3280</v>
      </c>
      <c r="H412">
        <v>8.1</v>
      </c>
      <c r="I412">
        <v>1</v>
      </c>
      <c r="J412">
        <v>2003</v>
      </c>
      <c r="K412" t="s">
        <v>18</v>
      </c>
      <c r="L412" t="s">
        <v>15</v>
      </c>
      <c r="M412" t="str">
        <f>IF(J412&gt;2010,"Yes","No")</f>
        <v>No</v>
      </c>
      <c r="N412">
        <f>F412/D412</f>
        <v>0.30550844035215252</v>
      </c>
      <c r="O412">
        <f>E412/D412</f>
        <v>13.3706081899685</v>
      </c>
    </row>
    <row r="413" spans="1:15" x14ac:dyDescent="0.3">
      <c r="A413" t="s">
        <v>334</v>
      </c>
      <c r="B413" t="s">
        <v>21</v>
      </c>
      <c r="C413">
        <v>2</v>
      </c>
      <c r="D413">
        <v>247.86</v>
      </c>
      <c r="E413">
        <v>1373.41</v>
      </c>
      <c r="F413">
        <v>62.17</v>
      </c>
      <c r="G413">
        <v>3225</v>
      </c>
      <c r="H413">
        <v>4.99</v>
      </c>
      <c r="I413">
        <v>0</v>
      </c>
      <c r="J413">
        <v>2001</v>
      </c>
      <c r="K413" t="s">
        <v>32</v>
      </c>
      <c r="L413" t="s">
        <v>15</v>
      </c>
      <c r="M413" t="str">
        <f>IF(J413&gt;2010,"Yes","No")</f>
        <v>No</v>
      </c>
      <c r="N413">
        <f>F413/D413</f>
        <v>0.25082707980311464</v>
      </c>
      <c r="O413">
        <f>E413/D413</f>
        <v>5.5410715726619868</v>
      </c>
    </row>
    <row r="414" spans="1:15" x14ac:dyDescent="0.3">
      <c r="A414" t="s">
        <v>219</v>
      </c>
      <c r="B414" t="s">
        <v>39</v>
      </c>
      <c r="C414">
        <v>5</v>
      </c>
      <c r="D414">
        <v>247.95</v>
      </c>
      <c r="E414">
        <v>2663.85</v>
      </c>
      <c r="F414">
        <v>64.3</v>
      </c>
      <c r="G414">
        <v>2097</v>
      </c>
      <c r="H414">
        <v>8.7899999999999991</v>
      </c>
      <c r="I414">
        <v>0</v>
      </c>
      <c r="J414">
        <v>1998</v>
      </c>
      <c r="K414" t="s">
        <v>41</v>
      </c>
      <c r="L414" t="s">
        <v>15</v>
      </c>
      <c r="M414" t="str">
        <f>IF(J414&gt;2010,"Yes","No")</f>
        <v>No</v>
      </c>
      <c r="N414">
        <f>F414/D414</f>
        <v>0.25932647711232104</v>
      </c>
      <c r="O414">
        <f>E414/D414</f>
        <v>10.743496672716274</v>
      </c>
    </row>
    <row r="415" spans="1:15" x14ac:dyDescent="0.3">
      <c r="A415" t="s">
        <v>22</v>
      </c>
      <c r="B415" t="s">
        <v>13</v>
      </c>
      <c r="C415">
        <v>4</v>
      </c>
      <c r="D415">
        <v>249.28</v>
      </c>
      <c r="E415">
        <v>850.11</v>
      </c>
      <c r="F415">
        <v>50.25</v>
      </c>
      <c r="G415">
        <v>1905</v>
      </c>
      <c r="H415">
        <v>4.09</v>
      </c>
      <c r="I415">
        <v>0</v>
      </c>
      <c r="J415">
        <v>1997</v>
      </c>
      <c r="K415" t="s">
        <v>14</v>
      </c>
      <c r="L415" t="s">
        <v>23</v>
      </c>
      <c r="M415" t="str">
        <f>IF(J415&gt;2010,"Yes","No")</f>
        <v>No</v>
      </c>
      <c r="N415">
        <f>F415/D415</f>
        <v>0.20158055198973043</v>
      </c>
      <c r="O415">
        <f>E415/D415</f>
        <v>3.4102615532734277</v>
      </c>
    </row>
    <row r="416" spans="1:15" x14ac:dyDescent="0.3">
      <c r="A416" t="s">
        <v>213</v>
      </c>
      <c r="B416" t="s">
        <v>39</v>
      </c>
      <c r="C416">
        <v>4</v>
      </c>
      <c r="D416">
        <v>249.28</v>
      </c>
      <c r="E416">
        <v>3196.89</v>
      </c>
      <c r="F416">
        <v>18.75</v>
      </c>
      <c r="G416">
        <v>3660</v>
      </c>
      <c r="H416">
        <v>0.3</v>
      </c>
      <c r="I416">
        <v>0</v>
      </c>
      <c r="J416">
        <v>2019</v>
      </c>
      <c r="K416" t="s">
        <v>28</v>
      </c>
      <c r="L416" t="s">
        <v>23</v>
      </c>
      <c r="M416" t="str">
        <f>IF(J416&gt;2010,"Yes","No")</f>
        <v>Yes</v>
      </c>
      <c r="N416">
        <f>F416/D416</f>
        <v>7.5216623876765087E-2</v>
      </c>
      <c r="O416">
        <f>E416/D416</f>
        <v>12.824494544287548</v>
      </c>
    </row>
    <row r="417" spans="1:15" x14ac:dyDescent="0.3">
      <c r="A417" t="s">
        <v>484</v>
      </c>
      <c r="B417" t="s">
        <v>75</v>
      </c>
      <c r="C417">
        <v>5</v>
      </c>
      <c r="D417">
        <v>250.88</v>
      </c>
      <c r="E417">
        <v>3020.16</v>
      </c>
      <c r="F417">
        <v>8.5299999999999994</v>
      </c>
      <c r="G417">
        <v>1895</v>
      </c>
      <c r="H417">
        <v>8.2200000000000006</v>
      </c>
      <c r="I417">
        <v>1</v>
      </c>
      <c r="J417">
        <v>2019</v>
      </c>
      <c r="K417" t="s">
        <v>41</v>
      </c>
      <c r="L417" t="s">
        <v>23</v>
      </c>
      <c r="M417" t="str">
        <f>IF(J417&gt;2010,"Yes","No")</f>
        <v>Yes</v>
      </c>
      <c r="N417">
        <f>F417/D417</f>
        <v>3.400031887755102E-2</v>
      </c>
      <c r="O417">
        <f>E417/D417</f>
        <v>12.038265306122449</v>
      </c>
    </row>
    <row r="418" spans="1:15" x14ac:dyDescent="0.3">
      <c r="A418" t="s">
        <v>84</v>
      </c>
      <c r="B418" t="s">
        <v>21</v>
      </c>
      <c r="C418">
        <v>5</v>
      </c>
      <c r="D418">
        <v>251.21</v>
      </c>
      <c r="E418">
        <v>1233.81</v>
      </c>
      <c r="F418">
        <v>74.02</v>
      </c>
      <c r="G418">
        <v>1527</v>
      </c>
      <c r="H418">
        <v>0.42</v>
      </c>
      <c r="I418">
        <v>0</v>
      </c>
      <c r="J418">
        <v>2020</v>
      </c>
      <c r="K418" t="s">
        <v>18</v>
      </c>
      <c r="L418" t="s">
        <v>15</v>
      </c>
      <c r="M418" t="str">
        <f>IF(J418&gt;2010,"Yes","No")</f>
        <v>Yes</v>
      </c>
      <c r="N418">
        <f>F418/D418</f>
        <v>0.29465387524381986</v>
      </c>
      <c r="O418">
        <f>E418/D418</f>
        <v>4.9114684924963177</v>
      </c>
    </row>
    <row r="419" spans="1:15" x14ac:dyDescent="0.3">
      <c r="A419" t="s">
        <v>211</v>
      </c>
      <c r="B419" t="s">
        <v>75</v>
      </c>
      <c r="C419">
        <v>1</v>
      </c>
      <c r="D419">
        <v>251.43</v>
      </c>
      <c r="E419">
        <v>802.02</v>
      </c>
      <c r="F419">
        <v>44.16</v>
      </c>
      <c r="G419">
        <v>1103</v>
      </c>
      <c r="H419">
        <v>1.71</v>
      </c>
      <c r="I419">
        <v>1</v>
      </c>
      <c r="J419">
        <v>2007</v>
      </c>
      <c r="K419" t="s">
        <v>41</v>
      </c>
      <c r="L419" t="s">
        <v>23</v>
      </c>
      <c r="M419" t="str">
        <f>IF(J419&gt;2010,"Yes","No")</f>
        <v>No</v>
      </c>
      <c r="N419">
        <f>F419/D419</f>
        <v>0.17563536570814936</v>
      </c>
      <c r="O419">
        <f>E419/D419</f>
        <v>3.1898341486696098</v>
      </c>
    </row>
    <row r="420" spans="1:15" x14ac:dyDescent="0.3">
      <c r="A420" t="s">
        <v>73</v>
      </c>
      <c r="B420" t="s">
        <v>17</v>
      </c>
      <c r="C420">
        <v>5</v>
      </c>
      <c r="D420">
        <v>251.51</v>
      </c>
      <c r="E420">
        <v>3074.01</v>
      </c>
      <c r="F420">
        <v>76.680000000000007</v>
      </c>
      <c r="G420">
        <v>3185</v>
      </c>
      <c r="H420">
        <v>8.4700000000000006</v>
      </c>
      <c r="I420">
        <v>1</v>
      </c>
      <c r="J420">
        <v>1993</v>
      </c>
      <c r="K420" t="s">
        <v>14</v>
      </c>
      <c r="L420" t="s">
        <v>26</v>
      </c>
      <c r="M420" t="str">
        <f>IF(J420&gt;2010,"Yes","No")</f>
        <v>No</v>
      </c>
      <c r="N420">
        <f>F420/D420</f>
        <v>0.30487853365671347</v>
      </c>
      <c r="O420">
        <f>E420/D420</f>
        <v>12.222217804461057</v>
      </c>
    </row>
    <row r="421" spans="1:15" x14ac:dyDescent="0.3">
      <c r="A421" t="s">
        <v>336</v>
      </c>
      <c r="B421" t="s">
        <v>39</v>
      </c>
      <c r="C421">
        <v>3</v>
      </c>
      <c r="D421">
        <v>252.06</v>
      </c>
      <c r="E421">
        <v>3037.59</v>
      </c>
      <c r="F421">
        <v>62.86</v>
      </c>
      <c r="G421">
        <v>4922</v>
      </c>
      <c r="H421">
        <v>7.89</v>
      </c>
      <c r="I421">
        <v>0</v>
      </c>
      <c r="J421">
        <v>1995</v>
      </c>
      <c r="K421" t="s">
        <v>18</v>
      </c>
      <c r="L421" t="s">
        <v>15</v>
      </c>
      <c r="M421" t="str">
        <f>IF(J421&gt;2010,"Yes","No")</f>
        <v>No</v>
      </c>
      <c r="N421">
        <f>F421/D421</f>
        <v>0.24938506704752836</v>
      </c>
      <c r="O421">
        <f>E421/D421</f>
        <v>12.051059271602</v>
      </c>
    </row>
    <row r="422" spans="1:15" x14ac:dyDescent="0.3">
      <c r="A422" t="s">
        <v>301</v>
      </c>
      <c r="B422" t="s">
        <v>75</v>
      </c>
      <c r="C422">
        <v>3</v>
      </c>
      <c r="D422">
        <v>252.12</v>
      </c>
      <c r="E422">
        <v>3652.68</v>
      </c>
      <c r="F422">
        <v>36.1</v>
      </c>
      <c r="G422">
        <v>4633</v>
      </c>
      <c r="H422">
        <v>7.45</v>
      </c>
      <c r="I422">
        <v>1</v>
      </c>
      <c r="J422">
        <v>2005</v>
      </c>
      <c r="K422" t="s">
        <v>28</v>
      </c>
      <c r="L422" t="s">
        <v>15</v>
      </c>
      <c r="M422" t="str">
        <f>IF(J422&gt;2010,"Yes","No")</f>
        <v>No</v>
      </c>
      <c r="N422">
        <f>F422/D422</f>
        <v>0.14318578454704109</v>
      </c>
      <c r="O422">
        <f>E422/D422</f>
        <v>14.487862922417895</v>
      </c>
    </row>
    <row r="423" spans="1:15" x14ac:dyDescent="0.3">
      <c r="A423" t="s">
        <v>461</v>
      </c>
      <c r="B423" t="s">
        <v>25</v>
      </c>
      <c r="C423">
        <v>5</v>
      </c>
      <c r="D423">
        <v>252.22</v>
      </c>
      <c r="E423">
        <v>1894.66</v>
      </c>
      <c r="F423">
        <v>90.04</v>
      </c>
      <c r="G423">
        <v>3649</v>
      </c>
      <c r="H423">
        <v>7.67</v>
      </c>
      <c r="I423">
        <v>1</v>
      </c>
      <c r="J423">
        <v>2002</v>
      </c>
      <c r="K423" t="s">
        <v>14</v>
      </c>
      <c r="L423" t="s">
        <v>15</v>
      </c>
      <c r="M423" t="str">
        <f>IF(J423&gt;2010,"Yes","No")</f>
        <v>No</v>
      </c>
      <c r="N423">
        <f>F423/D423</f>
        <v>0.356989929426691</v>
      </c>
      <c r="O423">
        <f>E423/D423</f>
        <v>7.5119340258504481</v>
      </c>
    </row>
    <row r="424" spans="1:15" x14ac:dyDescent="0.3">
      <c r="A424" t="s">
        <v>97</v>
      </c>
      <c r="B424" t="s">
        <v>13</v>
      </c>
      <c r="C424">
        <v>4</v>
      </c>
      <c r="D424">
        <v>252.54</v>
      </c>
      <c r="E424">
        <v>3489.22</v>
      </c>
      <c r="F424">
        <v>85.29</v>
      </c>
      <c r="G424">
        <v>1003</v>
      </c>
      <c r="H424">
        <v>5.21</v>
      </c>
      <c r="I424">
        <v>0</v>
      </c>
      <c r="J424">
        <v>2019</v>
      </c>
      <c r="K424" t="s">
        <v>28</v>
      </c>
      <c r="L424" t="s">
        <v>15</v>
      </c>
      <c r="M424" t="str">
        <f>IF(J424&gt;2010,"Yes","No")</f>
        <v>Yes</v>
      </c>
      <c r="N424">
        <f>F424/D424</f>
        <v>0.33772867664528394</v>
      </c>
      <c r="O424">
        <f>E424/D424</f>
        <v>13.816504316147936</v>
      </c>
    </row>
    <row r="425" spans="1:15" x14ac:dyDescent="0.3">
      <c r="A425" t="s">
        <v>465</v>
      </c>
      <c r="B425" t="s">
        <v>17</v>
      </c>
      <c r="C425">
        <v>3</v>
      </c>
      <c r="D425">
        <v>253.95</v>
      </c>
      <c r="E425">
        <v>1596.2</v>
      </c>
      <c r="F425">
        <v>41.33</v>
      </c>
      <c r="G425">
        <v>2354</v>
      </c>
      <c r="H425">
        <v>7.79</v>
      </c>
      <c r="I425">
        <v>0</v>
      </c>
      <c r="J425">
        <v>2021</v>
      </c>
      <c r="K425" t="s">
        <v>18</v>
      </c>
      <c r="L425" t="s">
        <v>15</v>
      </c>
      <c r="M425" t="str">
        <f>IF(J425&gt;2010,"Yes","No")</f>
        <v>Yes</v>
      </c>
      <c r="N425">
        <f>F425/D425</f>
        <v>0.1627485725536523</v>
      </c>
      <c r="O425">
        <f>E425/D425</f>
        <v>6.285489269541249</v>
      </c>
    </row>
    <row r="426" spans="1:15" x14ac:dyDescent="0.3">
      <c r="A426" t="s">
        <v>98</v>
      </c>
      <c r="B426" t="s">
        <v>39</v>
      </c>
      <c r="C426">
        <v>1</v>
      </c>
      <c r="D426">
        <v>254</v>
      </c>
      <c r="E426">
        <v>3437.81</v>
      </c>
      <c r="F426">
        <v>22.63</v>
      </c>
      <c r="G426">
        <v>2572</v>
      </c>
      <c r="H426">
        <v>4.6900000000000004</v>
      </c>
      <c r="I426">
        <v>1</v>
      </c>
      <c r="J426">
        <v>1995</v>
      </c>
      <c r="K426" t="s">
        <v>28</v>
      </c>
      <c r="L426" t="s">
        <v>15</v>
      </c>
      <c r="M426" t="str">
        <f>IF(J426&gt;2010,"Yes","No")</f>
        <v>No</v>
      </c>
      <c r="N426">
        <f>F426/D426</f>
        <v>8.9094488188976376E-2</v>
      </c>
      <c r="O426">
        <f>E426/D426</f>
        <v>13.534685039370078</v>
      </c>
    </row>
    <row r="427" spans="1:15" x14ac:dyDescent="0.3">
      <c r="A427" t="s">
        <v>242</v>
      </c>
      <c r="B427" t="s">
        <v>21</v>
      </c>
      <c r="C427">
        <v>1</v>
      </c>
      <c r="D427">
        <v>255.73</v>
      </c>
      <c r="E427">
        <v>2548.5300000000002</v>
      </c>
      <c r="F427">
        <v>32.03</v>
      </c>
      <c r="G427">
        <v>2833</v>
      </c>
      <c r="H427">
        <v>9.77</v>
      </c>
      <c r="I427">
        <v>1</v>
      </c>
      <c r="J427">
        <v>2020</v>
      </c>
      <c r="K427" t="s">
        <v>41</v>
      </c>
      <c r="L427" t="s">
        <v>15</v>
      </c>
      <c r="M427" t="str">
        <f>IF(J427&gt;2010,"Yes","No")</f>
        <v>Yes</v>
      </c>
      <c r="N427">
        <f>F427/D427</f>
        <v>0.12524928635670435</v>
      </c>
      <c r="O427">
        <f>E427/D427</f>
        <v>9.96570601806593</v>
      </c>
    </row>
    <row r="428" spans="1:15" x14ac:dyDescent="0.3">
      <c r="A428" t="s">
        <v>315</v>
      </c>
      <c r="B428" t="s">
        <v>21</v>
      </c>
      <c r="C428">
        <v>5</v>
      </c>
      <c r="D428">
        <v>255.8</v>
      </c>
      <c r="E428">
        <v>1141.1600000000001</v>
      </c>
      <c r="F428">
        <v>39.04</v>
      </c>
      <c r="G428">
        <v>2793</v>
      </c>
      <c r="H428">
        <v>2.12</v>
      </c>
      <c r="I428">
        <v>0</v>
      </c>
      <c r="J428">
        <v>1990</v>
      </c>
      <c r="K428" t="s">
        <v>32</v>
      </c>
      <c r="L428" t="s">
        <v>15</v>
      </c>
      <c r="M428" t="str">
        <f>IF(J428&gt;2010,"Yes","No")</f>
        <v>No</v>
      </c>
      <c r="N428">
        <f>F428/D428</f>
        <v>0.15261923377638778</v>
      </c>
      <c r="O428">
        <f>E428/D428</f>
        <v>4.4611415168100077</v>
      </c>
    </row>
    <row r="429" spans="1:15" x14ac:dyDescent="0.3">
      <c r="A429" t="s">
        <v>190</v>
      </c>
      <c r="B429" t="s">
        <v>17</v>
      </c>
      <c r="C429">
        <v>5</v>
      </c>
      <c r="D429">
        <v>255.92</v>
      </c>
      <c r="E429">
        <v>2069.71</v>
      </c>
      <c r="F429">
        <v>75.87</v>
      </c>
      <c r="G429">
        <v>3368</v>
      </c>
      <c r="H429">
        <v>3.16</v>
      </c>
      <c r="I429">
        <v>1</v>
      </c>
      <c r="J429">
        <v>2019</v>
      </c>
      <c r="K429" t="s">
        <v>41</v>
      </c>
      <c r="L429" t="s">
        <v>15</v>
      </c>
      <c r="M429" t="str">
        <f>IF(J429&gt;2010,"Yes","No")</f>
        <v>Yes</v>
      </c>
      <c r="N429">
        <f>F429/D429</f>
        <v>0.29645983119724917</v>
      </c>
      <c r="O429">
        <f>E429/D429</f>
        <v>8.0873319787433573</v>
      </c>
    </row>
    <row r="430" spans="1:15" x14ac:dyDescent="0.3">
      <c r="A430" t="s">
        <v>332</v>
      </c>
      <c r="B430" t="s">
        <v>39</v>
      </c>
      <c r="C430">
        <v>1</v>
      </c>
      <c r="D430">
        <v>256.33999999999997</v>
      </c>
      <c r="E430">
        <v>2505.29</v>
      </c>
      <c r="F430">
        <v>83.96</v>
      </c>
      <c r="G430">
        <v>780</v>
      </c>
      <c r="H430">
        <v>8.86</v>
      </c>
      <c r="I430">
        <v>0</v>
      </c>
      <c r="J430">
        <v>2013</v>
      </c>
      <c r="K430" t="s">
        <v>32</v>
      </c>
      <c r="L430" t="s">
        <v>15</v>
      </c>
      <c r="M430" t="str">
        <f>IF(J430&gt;2010,"Yes","No")</f>
        <v>Yes</v>
      </c>
      <c r="N430">
        <f>F430/D430</f>
        <v>0.32753374424592341</v>
      </c>
      <c r="O430">
        <f>E430/D430</f>
        <v>9.773308886634938</v>
      </c>
    </row>
    <row r="431" spans="1:15" x14ac:dyDescent="0.3">
      <c r="A431" t="s">
        <v>345</v>
      </c>
      <c r="B431" t="s">
        <v>30</v>
      </c>
      <c r="C431">
        <v>3</v>
      </c>
      <c r="D431">
        <v>257.27999999999997</v>
      </c>
      <c r="E431">
        <v>2907.11</v>
      </c>
      <c r="F431">
        <v>56.76</v>
      </c>
      <c r="G431">
        <v>2106</v>
      </c>
      <c r="H431">
        <v>8.02</v>
      </c>
      <c r="I431">
        <v>0</v>
      </c>
      <c r="J431">
        <v>1992</v>
      </c>
      <c r="K431" t="s">
        <v>14</v>
      </c>
      <c r="L431" t="s">
        <v>23</v>
      </c>
      <c r="M431" t="str">
        <f>IF(J431&gt;2010,"Yes","No")</f>
        <v>No</v>
      </c>
      <c r="N431">
        <f>F431/D431</f>
        <v>0.22061567164179105</v>
      </c>
      <c r="O431">
        <f>E431/D431</f>
        <v>11.29940143034826</v>
      </c>
    </row>
    <row r="432" spans="1:15" x14ac:dyDescent="0.3">
      <c r="A432" t="s">
        <v>504</v>
      </c>
      <c r="B432" t="s">
        <v>21</v>
      </c>
      <c r="C432">
        <v>1</v>
      </c>
      <c r="D432">
        <v>257.47000000000003</v>
      </c>
      <c r="E432">
        <v>2112.6999999999998</v>
      </c>
      <c r="F432">
        <v>9.98</v>
      </c>
      <c r="G432">
        <v>3217</v>
      </c>
      <c r="H432">
        <v>9.43</v>
      </c>
      <c r="I432">
        <v>0</v>
      </c>
      <c r="J432">
        <v>1993</v>
      </c>
      <c r="K432" t="s">
        <v>32</v>
      </c>
      <c r="L432" t="s">
        <v>15</v>
      </c>
      <c r="M432" t="str">
        <f>IF(J432&gt;2010,"Yes","No")</f>
        <v>No</v>
      </c>
      <c r="N432">
        <f>F432/D432</f>
        <v>3.8761797490969821E-2</v>
      </c>
      <c r="O432">
        <f>E432/D432</f>
        <v>8.2056161882937797</v>
      </c>
    </row>
    <row r="433" spans="1:15" x14ac:dyDescent="0.3">
      <c r="A433" t="s">
        <v>236</v>
      </c>
      <c r="B433" t="s">
        <v>21</v>
      </c>
      <c r="C433">
        <v>1</v>
      </c>
      <c r="D433">
        <v>258.11</v>
      </c>
      <c r="E433">
        <v>936.44</v>
      </c>
      <c r="F433">
        <v>31.38</v>
      </c>
      <c r="G433">
        <v>3706</v>
      </c>
      <c r="H433">
        <v>9.9</v>
      </c>
      <c r="I433">
        <v>0</v>
      </c>
      <c r="J433">
        <v>1998</v>
      </c>
      <c r="K433" t="s">
        <v>28</v>
      </c>
      <c r="L433" t="s">
        <v>26</v>
      </c>
      <c r="M433" t="str">
        <f>IF(J433&gt;2010,"Yes","No")</f>
        <v>No</v>
      </c>
      <c r="N433">
        <f>F433/D433</f>
        <v>0.12157607221727169</v>
      </c>
      <c r="O433">
        <f>E433/D433</f>
        <v>3.6280655534462052</v>
      </c>
    </row>
    <row r="434" spans="1:15" x14ac:dyDescent="0.3">
      <c r="A434" t="s">
        <v>31</v>
      </c>
      <c r="B434" t="s">
        <v>21</v>
      </c>
      <c r="C434">
        <v>5</v>
      </c>
      <c r="D434">
        <v>258.39</v>
      </c>
      <c r="E434">
        <v>935.47</v>
      </c>
      <c r="F434">
        <v>78.06</v>
      </c>
      <c r="G434">
        <v>447</v>
      </c>
      <c r="H434">
        <v>1.62</v>
      </c>
      <c r="I434">
        <v>0</v>
      </c>
      <c r="J434">
        <v>2020</v>
      </c>
      <c r="K434" t="s">
        <v>32</v>
      </c>
      <c r="L434" t="s">
        <v>23</v>
      </c>
      <c r="M434" t="str">
        <f>IF(J434&gt;2010,"Yes","No")</f>
        <v>Yes</v>
      </c>
      <c r="N434">
        <f>F434/D434</f>
        <v>0.30210147451526764</v>
      </c>
      <c r="O434">
        <f>E434/D434</f>
        <v>3.6203800456674022</v>
      </c>
    </row>
    <row r="435" spans="1:15" x14ac:dyDescent="0.3">
      <c r="A435" t="s">
        <v>264</v>
      </c>
      <c r="B435" t="s">
        <v>75</v>
      </c>
      <c r="C435">
        <v>3</v>
      </c>
      <c r="D435">
        <v>259.42</v>
      </c>
      <c r="E435">
        <v>1578.46</v>
      </c>
      <c r="F435">
        <v>98.81</v>
      </c>
      <c r="G435">
        <v>1814</v>
      </c>
      <c r="H435">
        <v>6.99</v>
      </c>
      <c r="I435">
        <v>1</v>
      </c>
      <c r="J435">
        <v>2015</v>
      </c>
      <c r="K435" t="s">
        <v>28</v>
      </c>
      <c r="L435" t="s">
        <v>15</v>
      </c>
      <c r="M435" t="str">
        <f>IF(J435&gt;2010,"Yes","No")</f>
        <v>Yes</v>
      </c>
      <c r="N435">
        <f>F435/D435</f>
        <v>0.38088813507054198</v>
      </c>
      <c r="O435">
        <f>E435/D435</f>
        <v>6.0845732788528251</v>
      </c>
    </row>
    <row r="436" spans="1:15" x14ac:dyDescent="0.3">
      <c r="A436" t="s">
        <v>340</v>
      </c>
      <c r="B436" t="s">
        <v>25</v>
      </c>
      <c r="C436">
        <v>2</v>
      </c>
      <c r="D436">
        <v>260.48</v>
      </c>
      <c r="E436">
        <v>1314.9</v>
      </c>
      <c r="F436">
        <v>21.92</v>
      </c>
      <c r="G436">
        <v>3328</v>
      </c>
      <c r="H436">
        <v>9.8800000000000008</v>
      </c>
      <c r="I436">
        <v>1</v>
      </c>
      <c r="J436">
        <v>2014</v>
      </c>
      <c r="K436" t="s">
        <v>18</v>
      </c>
      <c r="L436" t="s">
        <v>23</v>
      </c>
      <c r="M436" t="str">
        <f>IF(J436&gt;2010,"Yes","No")</f>
        <v>Yes</v>
      </c>
      <c r="N436">
        <f>F436/D436</f>
        <v>8.4152334152334154E-2</v>
      </c>
      <c r="O436">
        <f>E436/D436</f>
        <v>5.0479883292383292</v>
      </c>
    </row>
    <row r="437" spans="1:15" x14ac:dyDescent="0.3">
      <c r="A437" t="s">
        <v>354</v>
      </c>
      <c r="B437" t="s">
        <v>30</v>
      </c>
      <c r="C437">
        <v>4</v>
      </c>
      <c r="D437">
        <v>260.5</v>
      </c>
      <c r="E437">
        <v>3045.72</v>
      </c>
      <c r="F437">
        <v>87.74</v>
      </c>
      <c r="G437">
        <v>3846</v>
      </c>
      <c r="H437">
        <v>6.42</v>
      </c>
      <c r="I437">
        <v>1</v>
      </c>
      <c r="J437">
        <v>2003</v>
      </c>
      <c r="K437" t="s">
        <v>41</v>
      </c>
      <c r="L437" t="s">
        <v>15</v>
      </c>
      <c r="M437" t="str">
        <f>IF(J437&gt;2010,"Yes","No")</f>
        <v>No</v>
      </c>
      <c r="N437">
        <f>F437/D437</f>
        <v>0.3368138195777351</v>
      </c>
      <c r="O437">
        <f>E437/D437</f>
        <v>11.691823416506717</v>
      </c>
    </row>
    <row r="438" spans="1:15" x14ac:dyDescent="0.3">
      <c r="A438" t="s">
        <v>267</v>
      </c>
      <c r="B438" t="s">
        <v>75</v>
      </c>
      <c r="C438">
        <v>4</v>
      </c>
      <c r="D438">
        <v>260.51</v>
      </c>
      <c r="E438">
        <v>2683.73</v>
      </c>
      <c r="F438">
        <v>31.47</v>
      </c>
      <c r="G438">
        <v>2346</v>
      </c>
      <c r="H438">
        <v>5.58</v>
      </c>
      <c r="I438">
        <v>0</v>
      </c>
      <c r="J438">
        <v>2006</v>
      </c>
      <c r="K438" t="s">
        <v>18</v>
      </c>
      <c r="L438" t="s">
        <v>15</v>
      </c>
      <c r="M438" t="str">
        <f>IF(J438&gt;2010,"Yes","No")</f>
        <v>No</v>
      </c>
      <c r="N438">
        <f>F438/D438</f>
        <v>0.12080150474070094</v>
      </c>
      <c r="O438">
        <f>E438/D438</f>
        <v>10.301831023761084</v>
      </c>
    </row>
    <row r="439" spans="1:15" x14ac:dyDescent="0.3">
      <c r="A439" t="s">
        <v>447</v>
      </c>
      <c r="B439" t="s">
        <v>21</v>
      </c>
      <c r="C439">
        <v>1</v>
      </c>
      <c r="D439">
        <v>261.61</v>
      </c>
      <c r="E439">
        <v>3597.08</v>
      </c>
      <c r="F439">
        <v>72.17</v>
      </c>
      <c r="G439">
        <v>2611</v>
      </c>
      <c r="H439">
        <v>7.56</v>
      </c>
      <c r="I439">
        <v>0</v>
      </c>
      <c r="J439">
        <v>2008</v>
      </c>
      <c r="K439" t="s">
        <v>32</v>
      </c>
      <c r="L439" t="s">
        <v>15</v>
      </c>
      <c r="M439" t="str">
        <f>IF(J439&gt;2010,"Yes","No")</f>
        <v>No</v>
      </c>
      <c r="N439">
        <f>F439/D439</f>
        <v>0.27586865945491379</v>
      </c>
      <c r="O439">
        <f>E439/D439</f>
        <v>13.749780207178624</v>
      </c>
    </row>
    <row r="440" spans="1:15" x14ac:dyDescent="0.3">
      <c r="A440" t="s">
        <v>166</v>
      </c>
      <c r="B440" t="s">
        <v>34</v>
      </c>
      <c r="C440">
        <v>4</v>
      </c>
      <c r="D440">
        <v>263.06</v>
      </c>
      <c r="E440">
        <v>1063.94</v>
      </c>
      <c r="F440">
        <v>54.3</v>
      </c>
      <c r="G440">
        <v>3911</v>
      </c>
      <c r="H440">
        <v>1.66</v>
      </c>
      <c r="I440">
        <v>0</v>
      </c>
      <c r="J440">
        <v>2005</v>
      </c>
      <c r="K440" t="s">
        <v>32</v>
      </c>
      <c r="L440" t="s">
        <v>23</v>
      </c>
      <c r="M440" t="str">
        <f>IF(J440&gt;2010,"Yes","No")</f>
        <v>No</v>
      </c>
      <c r="N440">
        <f>F440/D440</f>
        <v>0.20641678704478064</v>
      </c>
      <c r="O440">
        <f>E440/D440</f>
        <v>4.0444765452748426</v>
      </c>
    </row>
    <row r="441" spans="1:15" x14ac:dyDescent="0.3">
      <c r="A441" t="s">
        <v>280</v>
      </c>
      <c r="B441" t="s">
        <v>34</v>
      </c>
      <c r="C441">
        <v>2</v>
      </c>
      <c r="D441">
        <v>263.77999999999997</v>
      </c>
      <c r="E441">
        <v>3774.33</v>
      </c>
      <c r="F441">
        <v>61.42</v>
      </c>
      <c r="G441">
        <v>2229</v>
      </c>
      <c r="H441">
        <v>4.55</v>
      </c>
      <c r="I441">
        <v>0</v>
      </c>
      <c r="J441">
        <v>2000</v>
      </c>
      <c r="K441" t="s">
        <v>41</v>
      </c>
      <c r="L441" t="s">
        <v>15</v>
      </c>
      <c r="M441" t="str">
        <f>IF(J441&gt;2010,"Yes","No")</f>
        <v>No</v>
      </c>
      <c r="N441">
        <f>F441/D441</f>
        <v>0.23284555311244221</v>
      </c>
      <c r="O441">
        <f>E441/D441</f>
        <v>14.308628402456593</v>
      </c>
    </row>
    <row r="442" spans="1:15" x14ac:dyDescent="0.3">
      <c r="A442" t="s">
        <v>277</v>
      </c>
      <c r="B442" t="s">
        <v>34</v>
      </c>
      <c r="C442">
        <v>3</v>
      </c>
      <c r="D442">
        <v>264.55</v>
      </c>
      <c r="E442">
        <v>2411.8200000000002</v>
      </c>
      <c r="F442">
        <v>90.55</v>
      </c>
      <c r="G442">
        <v>823</v>
      </c>
      <c r="H442">
        <v>0.12</v>
      </c>
      <c r="I442">
        <v>1</v>
      </c>
      <c r="J442">
        <v>1993</v>
      </c>
      <c r="K442" t="s">
        <v>28</v>
      </c>
      <c r="L442" t="s">
        <v>15</v>
      </c>
      <c r="M442" t="str">
        <f>IF(J442&gt;2010,"Yes","No")</f>
        <v>No</v>
      </c>
      <c r="N442">
        <f>F442/D442</f>
        <v>0.34227934227934226</v>
      </c>
      <c r="O442">
        <f>E442/D442</f>
        <v>9.1166887166887172</v>
      </c>
    </row>
    <row r="443" spans="1:15" x14ac:dyDescent="0.3">
      <c r="A443" t="s">
        <v>407</v>
      </c>
      <c r="B443" t="s">
        <v>17</v>
      </c>
      <c r="C443">
        <v>1</v>
      </c>
      <c r="D443">
        <v>264.82</v>
      </c>
      <c r="E443">
        <v>1515.72</v>
      </c>
      <c r="F443">
        <v>45.1</v>
      </c>
      <c r="G443">
        <v>3121</v>
      </c>
      <c r="H443">
        <v>8.86</v>
      </c>
      <c r="I443">
        <v>0</v>
      </c>
      <c r="J443">
        <v>2018</v>
      </c>
      <c r="K443" t="s">
        <v>41</v>
      </c>
      <c r="L443" t="s">
        <v>15</v>
      </c>
      <c r="M443" t="str">
        <f>IF(J443&gt;2010,"Yes","No")</f>
        <v>Yes</v>
      </c>
      <c r="N443">
        <f>F443/D443</f>
        <v>0.17030435767691263</v>
      </c>
      <c r="O443">
        <f>E443/D443</f>
        <v>5.723585831885809</v>
      </c>
    </row>
    <row r="444" spans="1:15" x14ac:dyDescent="0.3">
      <c r="A444" t="s">
        <v>258</v>
      </c>
      <c r="B444" t="s">
        <v>30</v>
      </c>
      <c r="C444">
        <v>3</v>
      </c>
      <c r="D444">
        <v>264.93</v>
      </c>
      <c r="E444">
        <v>858.46</v>
      </c>
      <c r="F444">
        <v>97.35</v>
      </c>
      <c r="G444">
        <v>3707</v>
      </c>
      <c r="H444">
        <v>1.53</v>
      </c>
      <c r="I444">
        <v>0</v>
      </c>
      <c r="J444">
        <v>2013</v>
      </c>
      <c r="K444" t="s">
        <v>14</v>
      </c>
      <c r="L444" t="s">
        <v>15</v>
      </c>
      <c r="M444" t="str">
        <f>IF(J444&gt;2010,"Yes","No")</f>
        <v>Yes</v>
      </c>
      <c r="N444">
        <f>F444/D444</f>
        <v>0.36745555429736154</v>
      </c>
      <c r="O444">
        <f>E444/D444</f>
        <v>3.2403276337145663</v>
      </c>
    </row>
    <row r="445" spans="1:15" x14ac:dyDescent="0.3">
      <c r="A445" t="s">
        <v>511</v>
      </c>
      <c r="B445" t="s">
        <v>17</v>
      </c>
      <c r="C445">
        <v>5</v>
      </c>
      <c r="D445">
        <v>265.17</v>
      </c>
      <c r="E445">
        <v>1412.68</v>
      </c>
      <c r="F445">
        <v>51.22</v>
      </c>
      <c r="G445">
        <v>4287</v>
      </c>
      <c r="H445">
        <v>3.81</v>
      </c>
      <c r="I445">
        <v>0</v>
      </c>
      <c r="J445">
        <v>2008</v>
      </c>
      <c r="K445" t="s">
        <v>18</v>
      </c>
      <c r="L445" t="s">
        <v>15</v>
      </c>
      <c r="M445" t="str">
        <f>IF(J445&gt;2010,"Yes","No")</f>
        <v>No</v>
      </c>
      <c r="N445">
        <f>F445/D445</f>
        <v>0.19315910547950371</v>
      </c>
      <c r="O445">
        <f>E445/D445</f>
        <v>5.3274503148923333</v>
      </c>
    </row>
    <row r="446" spans="1:15" x14ac:dyDescent="0.3">
      <c r="A446" t="s">
        <v>204</v>
      </c>
      <c r="B446" t="s">
        <v>75</v>
      </c>
      <c r="C446">
        <v>4</v>
      </c>
      <c r="D446">
        <v>265.32</v>
      </c>
      <c r="E446">
        <v>1247.3499999999999</v>
      </c>
      <c r="F446">
        <v>28.31</v>
      </c>
      <c r="G446">
        <v>3180</v>
      </c>
      <c r="H446">
        <v>0.8</v>
      </c>
      <c r="I446">
        <v>0</v>
      </c>
      <c r="J446">
        <v>2009</v>
      </c>
      <c r="K446" t="s">
        <v>18</v>
      </c>
      <c r="L446" t="s">
        <v>26</v>
      </c>
      <c r="M446" t="str">
        <f>IF(J446&gt;2010,"Yes","No")</f>
        <v>No</v>
      </c>
      <c r="N446">
        <f>F446/D446</f>
        <v>0.10670134177596864</v>
      </c>
      <c r="O446">
        <f>E446/D446</f>
        <v>4.7013040856324437</v>
      </c>
    </row>
    <row r="447" spans="1:15" x14ac:dyDescent="0.3">
      <c r="A447" t="s">
        <v>155</v>
      </c>
      <c r="B447" t="s">
        <v>39</v>
      </c>
      <c r="C447">
        <v>3</v>
      </c>
      <c r="D447">
        <v>265.56</v>
      </c>
      <c r="E447">
        <v>3419.91</v>
      </c>
      <c r="F447">
        <v>96.74</v>
      </c>
      <c r="G447">
        <v>4940</v>
      </c>
      <c r="H447">
        <v>1.07</v>
      </c>
      <c r="I447">
        <v>1</v>
      </c>
      <c r="J447">
        <v>2010</v>
      </c>
      <c r="K447" t="s">
        <v>14</v>
      </c>
      <c r="L447" t="s">
        <v>23</v>
      </c>
      <c r="M447" t="str">
        <f>IF(J447&gt;2010,"Yes","No")</f>
        <v>No</v>
      </c>
      <c r="N447">
        <f>F447/D447</f>
        <v>0.36428679017924381</v>
      </c>
      <c r="O447">
        <f>E447/D447</f>
        <v>12.878106642566651</v>
      </c>
    </row>
    <row r="448" spans="1:15" x14ac:dyDescent="0.3">
      <c r="A448" t="s">
        <v>255</v>
      </c>
      <c r="B448" t="s">
        <v>30</v>
      </c>
      <c r="C448">
        <v>2</v>
      </c>
      <c r="D448">
        <v>268.39999999999998</v>
      </c>
      <c r="E448">
        <v>2037.24</v>
      </c>
      <c r="F448">
        <v>82.31</v>
      </c>
      <c r="G448">
        <v>2312</v>
      </c>
      <c r="H448">
        <v>6.34</v>
      </c>
      <c r="I448">
        <v>1</v>
      </c>
      <c r="J448">
        <v>2005</v>
      </c>
      <c r="K448" t="s">
        <v>28</v>
      </c>
      <c r="L448" t="s">
        <v>15</v>
      </c>
      <c r="M448" t="str">
        <f>IF(J448&gt;2010,"Yes","No")</f>
        <v>No</v>
      </c>
      <c r="N448">
        <f>F448/D448</f>
        <v>0.30666915052160959</v>
      </c>
      <c r="O448">
        <f>E448/D448</f>
        <v>7.5903129657228021</v>
      </c>
    </row>
    <row r="449" spans="1:15" x14ac:dyDescent="0.3">
      <c r="A449" t="s">
        <v>235</v>
      </c>
      <c r="B449" t="s">
        <v>21</v>
      </c>
      <c r="C449">
        <v>5</v>
      </c>
      <c r="D449">
        <v>268.52999999999997</v>
      </c>
      <c r="E449">
        <v>1418.89</v>
      </c>
      <c r="F449">
        <v>82.06</v>
      </c>
      <c r="G449">
        <v>1055</v>
      </c>
      <c r="H449">
        <v>6.05</v>
      </c>
      <c r="I449">
        <v>1</v>
      </c>
      <c r="J449">
        <v>2002</v>
      </c>
      <c r="K449" t="s">
        <v>41</v>
      </c>
      <c r="L449" t="s">
        <v>23</v>
      </c>
      <c r="M449" t="str">
        <f>IF(J449&gt;2010,"Yes","No")</f>
        <v>No</v>
      </c>
      <c r="N449">
        <f>F449/D449</f>
        <v>0.30558969202696162</v>
      </c>
      <c r="O449">
        <f>E449/D449</f>
        <v>5.2839161359997027</v>
      </c>
    </row>
    <row r="450" spans="1:15" x14ac:dyDescent="0.3">
      <c r="A450" t="s">
        <v>420</v>
      </c>
      <c r="B450" t="s">
        <v>25</v>
      </c>
      <c r="C450">
        <v>1</v>
      </c>
      <c r="D450">
        <v>268.92</v>
      </c>
      <c r="E450">
        <v>921.55</v>
      </c>
      <c r="F450">
        <v>46.34</v>
      </c>
      <c r="G450">
        <v>397</v>
      </c>
      <c r="H450">
        <v>8.64</v>
      </c>
      <c r="I450">
        <v>0</v>
      </c>
      <c r="J450">
        <v>1993</v>
      </c>
      <c r="K450" t="s">
        <v>28</v>
      </c>
      <c r="L450" t="s">
        <v>15</v>
      </c>
      <c r="M450" t="str">
        <f>IF(J450&gt;2010,"Yes","No")</f>
        <v>No</v>
      </c>
      <c r="N450">
        <f>F450/D450</f>
        <v>0.17231890525063215</v>
      </c>
      <c r="O450">
        <f>E450/D450</f>
        <v>3.4268555704298671</v>
      </c>
    </row>
    <row r="451" spans="1:15" x14ac:dyDescent="0.3">
      <c r="A451" t="s">
        <v>230</v>
      </c>
      <c r="B451" t="s">
        <v>25</v>
      </c>
      <c r="C451">
        <v>2</v>
      </c>
      <c r="D451">
        <v>269.27999999999997</v>
      </c>
      <c r="E451">
        <v>1684.01</v>
      </c>
      <c r="F451">
        <v>50.75</v>
      </c>
      <c r="G451">
        <v>2956</v>
      </c>
      <c r="H451">
        <v>7.87</v>
      </c>
      <c r="I451">
        <v>0</v>
      </c>
      <c r="J451">
        <v>2012</v>
      </c>
      <c r="K451" t="s">
        <v>32</v>
      </c>
      <c r="L451" t="s">
        <v>15</v>
      </c>
      <c r="M451" t="str">
        <f>IF(J451&gt;2010,"Yes","No")</f>
        <v>Yes</v>
      </c>
      <c r="N451">
        <f>F451/D451</f>
        <v>0.18846553773024363</v>
      </c>
      <c r="O451">
        <f>E451/D451</f>
        <v>6.2537507427213317</v>
      </c>
    </row>
    <row r="452" spans="1:15" x14ac:dyDescent="0.3">
      <c r="A452" t="s">
        <v>53</v>
      </c>
      <c r="B452" t="s">
        <v>30</v>
      </c>
      <c r="C452">
        <v>5</v>
      </c>
      <c r="D452">
        <v>270.22000000000003</v>
      </c>
      <c r="E452">
        <v>2536.54</v>
      </c>
      <c r="F452">
        <v>48.71</v>
      </c>
      <c r="G452">
        <v>2421</v>
      </c>
      <c r="H452">
        <v>9.0299999999999994</v>
      </c>
      <c r="I452">
        <v>1</v>
      </c>
      <c r="J452">
        <v>1996</v>
      </c>
      <c r="K452" t="s">
        <v>28</v>
      </c>
      <c r="L452" t="s">
        <v>15</v>
      </c>
      <c r="M452" t="str">
        <f>IF(J452&gt;2010,"Yes","No")</f>
        <v>No</v>
      </c>
      <c r="N452">
        <f>F452/D452</f>
        <v>0.18026052845829324</v>
      </c>
      <c r="O452">
        <f>E452/D452</f>
        <v>9.3869439715787131</v>
      </c>
    </row>
    <row r="453" spans="1:15" x14ac:dyDescent="0.3">
      <c r="A453" t="s">
        <v>129</v>
      </c>
      <c r="B453" t="s">
        <v>21</v>
      </c>
      <c r="C453">
        <v>2</v>
      </c>
      <c r="D453">
        <v>271.06</v>
      </c>
      <c r="E453">
        <v>2095.94</v>
      </c>
      <c r="F453">
        <v>15.72</v>
      </c>
      <c r="G453">
        <v>1615</v>
      </c>
      <c r="H453">
        <v>4.12</v>
      </c>
      <c r="I453">
        <v>1</v>
      </c>
      <c r="J453">
        <v>1992</v>
      </c>
      <c r="K453" t="s">
        <v>28</v>
      </c>
      <c r="L453" t="s">
        <v>15</v>
      </c>
      <c r="M453" t="str">
        <f>IF(J453&gt;2010,"Yes","No")</f>
        <v>No</v>
      </c>
      <c r="N453">
        <f>F453/D453</f>
        <v>5.7994539954253674E-2</v>
      </c>
      <c r="O453">
        <f>E453/D453</f>
        <v>7.7323839740278908</v>
      </c>
    </row>
    <row r="454" spans="1:15" x14ac:dyDescent="0.3">
      <c r="A454" t="s">
        <v>206</v>
      </c>
      <c r="B454" t="s">
        <v>34</v>
      </c>
      <c r="C454">
        <v>1</v>
      </c>
      <c r="D454">
        <v>271.17</v>
      </c>
      <c r="E454">
        <v>2756.32</v>
      </c>
      <c r="F454">
        <v>79.849999999999994</v>
      </c>
      <c r="G454">
        <v>3341</v>
      </c>
      <c r="H454">
        <v>9.36</v>
      </c>
      <c r="I454">
        <v>0</v>
      </c>
      <c r="J454">
        <v>1995</v>
      </c>
      <c r="K454" t="s">
        <v>18</v>
      </c>
      <c r="L454" t="s">
        <v>23</v>
      </c>
      <c r="M454" t="str">
        <f>IF(J454&gt;2010,"Yes","No")</f>
        <v>No</v>
      </c>
      <c r="N454">
        <f>F454/D454</f>
        <v>0.29446472692406972</v>
      </c>
      <c r="O454">
        <f>E454/D454</f>
        <v>10.164546225614927</v>
      </c>
    </row>
    <row r="455" spans="1:15" x14ac:dyDescent="0.3">
      <c r="A455" t="s">
        <v>260</v>
      </c>
      <c r="B455" t="s">
        <v>25</v>
      </c>
      <c r="C455">
        <v>4</v>
      </c>
      <c r="D455">
        <v>272</v>
      </c>
      <c r="E455">
        <v>3324.71</v>
      </c>
      <c r="F455">
        <v>29.72</v>
      </c>
      <c r="G455">
        <v>4950</v>
      </c>
      <c r="H455">
        <v>1.8</v>
      </c>
      <c r="I455">
        <v>1</v>
      </c>
      <c r="J455">
        <v>2000</v>
      </c>
      <c r="K455" t="s">
        <v>28</v>
      </c>
      <c r="L455" t="s">
        <v>15</v>
      </c>
      <c r="M455" t="str">
        <f>IF(J455&gt;2010,"Yes","No")</f>
        <v>No</v>
      </c>
      <c r="N455">
        <f>F455/D455</f>
        <v>0.10926470588235293</v>
      </c>
      <c r="O455">
        <f>E455/D455</f>
        <v>12.223198529411764</v>
      </c>
    </row>
    <row r="456" spans="1:15" x14ac:dyDescent="0.3">
      <c r="A456" t="s">
        <v>393</v>
      </c>
      <c r="B456" t="s">
        <v>25</v>
      </c>
      <c r="C456">
        <v>3</v>
      </c>
      <c r="D456">
        <v>272.39</v>
      </c>
      <c r="E456">
        <v>1252.3800000000001</v>
      </c>
      <c r="F456">
        <v>97.08</v>
      </c>
      <c r="G456">
        <v>2808</v>
      </c>
      <c r="H456">
        <v>2.2400000000000002</v>
      </c>
      <c r="I456">
        <v>0</v>
      </c>
      <c r="J456">
        <v>2012</v>
      </c>
      <c r="K456" t="s">
        <v>14</v>
      </c>
      <c r="L456" t="s">
        <v>15</v>
      </c>
      <c r="M456" t="str">
        <f>IF(J456&gt;2010,"Yes","No")</f>
        <v>Yes</v>
      </c>
      <c r="N456">
        <f>F456/D456</f>
        <v>0.35640074892617202</v>
      </c>
      <c r="O456">
        <f>E456/D456</f>
        <v>4.5977458790704508</v>
      </c>
    </row>
    <row r="457" spans="1:15" x14ac:dyDescent="0.3">
      <c r="A457" t="s">
        <v>284</v>
      </c>
      <c r="B457" t="s">
        <v>34</v>
      </c>
      <c r="C457">
        <v>2</v>
      </c>
      <c r="D457">
        <v>272.66000000000003</v>
      </c>
      <c r="E457">
        <v>2697.98</v>
      </c>
      <c r="F457">
        <v>80.64</v>
      </c>
      <c r="G457">
        <v>2453</v>
      </c>
      <c r="H457">
        <v>0.17</v>
      </c>
      <c r="I457">
        <v>1</v>
      </c>
      <c r="J457">
        <v>1992</v>
      </c>
      <c r="K457" t="s">
        <v>41</v>
      </c>
      <c r="L457" t="s">
        <v>15</v>
      </c>
      <c r="M457" t="str">
        <f>IF(J457&gt;2010,"Yes","No")</f>
        <v>No</v>
      </c>
      <c r="N457">
        <f>F457/D457</f>
        <v>0.29575295239492405</v>
      </c>
      <c r="O457">
        <f>E457/D457</f>
        <v>9.895034108413407</v>
      </c>
    </row>
    <row r="458" spans="1:15" x14ac:dyDescent="0.3">
      <c r="A458" t="s">
        <v>344</v>
      </c>
      <c r="B458" t="s">
        <v>25</v>
      </c>
      <c r="C458">
        <v>4</v>
      </c>
      <c r="D458">
        <v>272.89999999999998</v>
      </c>
      <c r="E458">
        <v>1400.85</v>
      </c>
      <c r="F458">
        <v>4.71</v>
      </c>
      <c r="G458">
        <v>4218</v>
      </c>
      <c r="H458">
        <v>2.14</v>
      </c>
      <c r="I458">
        <v>0</v>
      </c>
      <c r="J458">
        <v>2007</v>
      </c>
      <c r="K458" t="s">
        <v>14</v>
      </c>
      <c r="L458" t="s">
        <v>15</v>
      </c>
      <c r="M458" t="str">
        <f>IF(J458&gt;2010,"Yes","No")</f>
        <v>No</v>
      </c>
      <c r="N458">
        <f>F458/D458</f>
        <v>1.725906925613778E-2</v>
      </c>
      <c r="O458">
        <f>E458/D458</f>
        <v>5.1331989739831441</v>
      </c>
    </row>
    <row r="459" spans="1:15" x14ac:dyDescent="0.3">
      <c r="A459" t="s">
        <v>194</v>
      </c>
      <c r="B459" t="s">
        <v>39</v>
      </c>
      <c r="C459">
        <v>3</v>
      </c>
      <c r="D459">
        <v>273.14999999999998</v>
      </c>
      <c r="E459">
        <v>2369.5</v>
      </c>
      <c r="F459">
        <v>66</v>
      </c>
      <c r="G459">
        <v>4241</v>
      </c>
      <c r="H459">
        <v>7.17</v>
      </c>
      <c r="I459">
        <v>1</v>
      </c>
      <c r="J459">
        <v>1999</v>
      </c>
      <c r="K459" t="s">
        <v>14</v>
      </c>
      <c r="L459" t="s">
        <v>23</v>
      </c>
      <c r="M459" t="str">
        <f>IF(J459&gt;2010,"Yes","No")</f>
        <v>No</v>
      </c>
      <c r="N459">
        <f>F459/D459</f>
        <v>0.24162548050521693</v>
      </c>
      <c r="O459">
        <f>E459/D459</f>
        <v>8.6747208493501748</v>
      </c>
    </row>
    <row r="460" spans="1:15" x14ac:dyDescent="0.3">
      <c r="A460" t="s">
        <v>368</v>
      </c>
      <c r="B460" t="s">
        <v>13</v>
      </c>
      <c r="C460">
        <v>4</v>
      </c>
      <c r="D460">
        <v>273.58999999999997</v>
      </c>
      <c r="E460">
        <v>2732.01</v>
      </c>
      <c r="F460">
        <v>22.1</v>
      </c>
      <c r="G460">
        <v>1406</v>
      </c>
      <c r="H460">
        <v>0.38</v>
      </c>
      <c r="I460">
        <v>1</v>
      </c>
      <c r="J460">
        <v>2003</v>
      </c>
      <c r="K460" t="s">
        <v>18</v>
      </c>
      <c r="L460" t="s">
        <v>26</v>
      </c>
      <c r="M460" t="str">
        <f>IF(J460&gt;2010,"Yes","No")</f>
        <v>No</v>
      </c>
      <c r="N460">
        <f>F460/D460</f>
        <v>8.0777806206367209E-2</v>
      </c>
      <c r="O460">
        <f>E460/D460</f>
        <v>9.9857816440659395</v>
      </c>
    </row>
    <row r="461" spans="1:15" x14ac:dyDescent="0.3">
      <c r="A461" t="s">
        <v>86</v>
      </c>
      <c r="B461" t="s">
        <v>21</v>
      </c>
      <c r="C461">
        <v>4</v>
      </c>
      <c r="D461">
        <v>274.7</v>
      </c>
      <c r="E461">
        <v>1872.72</v>
      </c>
      <c r="F461">
        <v>20.37</v>
      </c>
      <c r="G461">
        <v>1632</v>
      </c>
      <c r="H461">
        <v>3.71</v>
      </c>
      <c r="I461">
        <v>0</v>
      </c>
      <c r="J461">
        <v>1991</v>
      </c>
      <c r="K461" t="s">
        <v>32</v>
      </c>
      <c r="L461" t="s">
        <v>15</v>
      </c>
      <c r="M461" t="str">
        <f>IF(J461&gt;2010,"Yes","No")</f>
        <v>No</v>
      </c>
      <c r="N461">
        <f>F461/D461</f>
        <v>7.4153622133236258E-2</v>
      </c>
      <c r="O461">
        <f>E461/D461</f>
        <v>6.8173279941754643</v>
      </c>
    </row>
    <row r="462" spans="1:15" x14ac:dyDescent="0.3">
      <c r="A462" t="s">
        <v>273</v>
      </c>
      <c r="B462" t="s">
        <v>34</v>
      </c>
      <c r="C462">
        <v>3</v>
      </c>
      <c r="D462">
        <v>279.06</v>
      </c>
      <c r="E462">
        <v>1981.35</v>
      </c>
      <c r="F462">
        <v>11.38</v>
      </c>
      <c r="G462">
        <v>4733</v>
      </c>
      <c r="H462">
        <v>6.75</v>
      </c>
      <c r="I462">
        <v>0</v>
      </c>
      <c r="J462">
        <v>2017</v>
      </c>
      <c r="K462" t="s">
        <v>32</v>
      </c>
      <c r="L462" t="s">
        <v>26</v>
      </c>
      <c r="M462" t="str">
        <f>IF(J462&gt;2010,"Yes","No")</f>
        <v>Yes</v>
      </c>
      <c r="N462">
        <f>F462/D462</f>
        <v>4.0779760624955211E-2</v>
      </c>
      <c r="O462">
        <f>E462/D462</f>
        <v>7.1000860030101052</v>
      </c>
    </row>
    <row r="463" spans="1:15" x14ac:dyDescent="0.3">
      <c r="A463" t="s">
        <v>245</v>
      </c>
      <c r="B463" t="s">
        <v>75</v>
      </c>
      <c r="C463">
        <v>5</v>
      </c>
      <c r="D463">
        <v>279.51</v>
      </c>
      <c r="E463">
        <v>2968.26</v>
      </c>
      <c r="F463">
        <v>12.33</v>
      </c>
      <c r="G463">
        <v>1309</v>
      </c>
      <c r="H463">
        <v>9.7899999999999991</v>
      </c>
      <c r="I463">
        <v>1</v>
      </c>
      <c r="J463">
        <v>2008</v>
      </c>
      <c r="K463" t="s">
        <v>14</v>
      </c>
      <c r="L463" t="s">
        <v>15</v>
      </c>
      <c r="M463" t="str">
        <f>IF(J463&gt;2010,"Yes","No")</f>
        <v>No</v>
      </c>
      <c r="N463">
        <f>F463/D463</f>
        <v>4.4112911881506928E-2</v>
      </c>
      <c r="O463">
        <f>E463/D463</f>
        <v>10.619512718686273</v>
      </c>
    </row>
    <row r="464" spans="1:15" x14ac:dyDescent="0.3">
      <c r="A464" t="s">
        <v>173</v>
      </c>
      <c r="B464" t="s">
        <v>17</v>
      </c>
      <c r="C464">
        <v>1</v>
      </c>
      <c r="D464">
        <v>279.81</v>
      </c>
      <c r="E464">
        <v>2569.2399999999998</v>
      </c>
      <c r="F464">
        <v>14.18</v>
      </c>
      <c r="G464">
        <v>1232</v>
      </c>
      <c r="H464">
        <v>4.88</v>
      </c>
      <c r="I464">
        <v>1</v>
      </c>
      <c r="J464">
        <v>2016</v>
      </c>
      <c r="K464" t="s">
        <v>41</v>
      </c>
      <c r="L464" t="s">
        <v>23</v>
      </c>
      <c r="M464" t="str">
        <f>IF(J464&gt;2010,"Yes","No")</f>
        <v>Yes</v>
      </c>
      <c r="N464">
        <f>F464/D464</f>
        <v>5.0677245273578496E-2</v>
      </c>
      <c r="O464">
        <f>E464/D464</f>
        <v>9.1820878453236112</v>
      </c>
    </row>
    <row r="465" spans="1:15" x14ac:dyDescent="0.3">
      <c r="A465" t="s">
        <v>425</v>
      </c>
      <c r="B465" t="s">
        <v>75</v>
      </c>
      <c r="C465">
        <v>2</v>
      </c>
      <c r="D465">
        <v>280.58999999999997</v>
      </c>
      <c r="E465">
        <v>4110.3599999999997</v>
      </c>
      <c r="F465">
        <v>27.85</v>
      </c>
      <c r="G465">
        <v>984</v>
      </c>
      <c r="H465">
        <v>3.52</v>
      </c>
      <c r="I465">
        <v>1</v>
      </c>
      <c r="J465">
        <v>2011</v>
      </c>
      <c r="K465" t="s">
        <v>32</v>
      </c>
      <c r="L465" t="s">
        <v>26</v>
      </c>
      <c r="M465" t="str">
        <f>IF(J465&gt;2010,"Yes","No")</f>
        <v>Yes</v>
      </c>
      <c r="N465">
        <f>F465/D465</f>
        <v>9.9255140952991927E-2</v>
      </c>
      <c r="O465">
        <f>E465/D465</f>
        <v>14.648989628996045</v>
      </c>
    </row>
    <row r="466" spans="1:15" x14ac:dyDescent="0.3">
      <c r="A466" t="s">
        <v>404</v>
      </c>
      <c r="B466" t="s">
        <v>34</v>
      </c>
      <c r="C466">
        <v>1</v>
      </c>
      <c r="D466">
        <v>282.39999999999998</v>
      </c>
      <c r="E466">
        <v>2526.19</v>
      </c>
      <c r="F466">
        <v>90.75</v>
      </c>
      <c r="G466">
        <v>4325</v>
      </c>
      <c r="H466">
        <v>3.55</v>
      </c>
      <c r="I466">
        <v>0</v>
      </c>
      <c r="J466">
        <v>1990</v>
      </c>
      <c r="K466" t="s">
        <v>18</v>
      </c>
      <c r="L466" t="s">
        <v>23</v>
      </c>
      <c r="M466" t="str">
        <f>IF(J466&gt;2010,"Yes","No")</f>
        <v>No</v>
      </c>
      <c r="N466">
        <f>F466/D466</f>
        <v>0.32135269121813032</v>
      </c>
      <c r="O466">
        <f>E466/D466</f>
        <v>8.9454320113314463</v>
      </c>
    </row>
    <row r="467" spans="1:15" x14ac:dyDescent="0.3">
      <c r="A467" t="s">
        <v>330</v>
      </c>
      <c r="B467" t="s">
        <v>25</v>
      </c>
      <c r="C467">
        <v>1</v>
      </c>
      <c r="D467">
        <v>283.32</v>
      </c>
      <c r="E467">
        <v>2090.2199999999998</v>
      </c>
      <c r="F467">
        <v>82.62</v>
      </c>
      <c r="G467">
        <v>3981</v>
      </c>
      <c r="H467">
        <v>3.78</v>
      </c>
      <c r="I467">
        <v>1</v>
      </c>
      <c r="J467">
        <v>2003</v>
      </c>
      <c r="K467" t="s">
        <v>32</v>
      </c>
      <c r="L467" t="s">
        <v>15</v>
      </c>
      <c r="M467" t="str">
        <f>IF(J467&gt;2010,"Yes","No")</f>
        <v>No</v>
      </c>
      <c r="N467">
        <f>F467/D467</f>
        <v>0.2916137229987294</v>
      </c>
      <c r="O467">
        <f>E467/D467</f>
        <v>7.3775942397289276</v>
      </c>
    </row>
    <row r="468" spans="1:15" x14ac:dyDescent="0.3">
      <c r="A468" t="s">
        <v>308</v>
      </c>
      <c r="B468" t="s">
        <v>25</v>
      </c>
      <c r="C468">
        <v>4</v>
      </c>
      <c r="D468">
        <v>284.22000000000003</v>
      </c>
      <c r="E468">
        <v>1327.41</v>
      </c>
      <c r="F468">
        <v>80.760000000000005</v>
      </c>
      <c r="G468">
        <v>3379</v>
      </c>
      <c r="H468">
        <v>5.18</v>
      </c>
      <c r="I468">
        <v>0</v>
      </c>
      <c r="J468">
        <v>2001</v>
      </c>
      <c r="K468" t="s">
        <v>14</v>
      </c>
      <c r="L468" t="s">
        <v>15</v>
      </c>
      <c r="M468" t="str">
        <f>IF(J468&gt;2010,"Yes","No")</f>
        <v>No</v>
      </c>
      <c r="N468">
        <f>F468/D468</f>
        <v>0.28414608401942154</v>
      </c>
      <c r="O468">
        <f>E468/D468</f>
        <v>4.6703609879670678</v>
      </c>
    </row>
    <row r="469" spans="1:15" x14ac:dyDescent="0.3">
      <c r="A469" t="s">
        <v>426</v>
      </c>
      <c r="B469" t="s">
        <v>13</v>
      </c>
      <c r="C469">
        <v>1</v>
      </c>
      <c r="D469">
        <v>284.23</v>
      </c>
      <c r="E469">
        <v>4066.7</v>
      </c>
      <c r="F469">
        <v>81.69</v>
      </c>
      <c r="G469">
        <v>4534</v>
      </c>
      <c r="H469">
        <v>4.2</v>
      </c>
      <c r="I469">
        <v>1</v>
      </c>
      <c r="J469">
        <v>2017</v>
      </c>
      <c r="K469" t="s">
        <v>14</v>
      </c>
      <c r="L469" t="s">
        <v>15</v>
      </c>
      <c r="M469" t="str">
        <f>IF(J469&gt;2010,"Yes","No")</f>
        <v>Yes</v>
      </c>
      <c r="N469">
        <f>F469/D469</f>
        <v>0.28740808500158321</v>
      </c>
      <c r="O469">
        <f>E469/D469</f>
        <v>14.307778911444956</v>
      </c>
    </row>
    <row r="470" spans="1:15" x14ac:dyDescent="0.3">
      <c r="A470" t="s">
        <v>519</v>
      </c>
      <c r="B470" t="s">
        <v>75</v>
      </c>
      <c r="C470">
        <v>3</v>
      </c>
      <c r="D470">
        <v>284.60000000000002</v>
      </c>
      <c r="E470">
        <v>2135.39</v>
      </c>
      <c r="F470">
        <v>37.950000000000003</v>
      </c>
      <c r="G470">
        <v>3624</v>
      </c>
      <c r="H470">
        <v>3.8</v>
      </c>
      <c r="I470">
        <v>1</v>
      </c>
      <c r="J470">
        <v>2020</v>
      </c>
      <c r="K470" t="s">
        <v>32</v>
      </c>
      <c r="L470" t="s">
        <v>15</v>
      </c>
      <c r="M470" t="str">
        <f>IF(J470&gt;2010,"Yes","No")</f>
        <v>Yes</v>
      </c>
      <c r="N470">
        <f>F470/D470</f>
        <v>0.13334504567814476</v>
      </c>
      <c r="O470">
        <f>E470/D470</f>
        <v>7.5031271960646508</v>
      </c>
    </row>
    <row r="471" spans="1:15" x14ac:dyDescent="0.3">
      <c r="A471" t="s">
        <v>89</v>
      </c>
      <c r="B471" t="s">
        <v>30</v>
      </c>
      <c r="C471">
        <v>2</v>
      </c>
      <c r="D471">
        <v>284.82</v>
      </c>
      <c r="E471">
        <v>3426.14</v>
      </c>
      <c r="F471">
        <v>16.61</v>
      </c>
      <c r="G471">
        <v>2191</v>
      </c>
      <c r="H471">
        <v>4.6500000000000004</v>
      </c>
      <c r="I471">
        <v>1</v>
      </c>
      <c r="J471">
        <v>2005</v>
      </c>
      <c r="K471" t="s">
        <v>41</v>
      </c>
      <c r="L471" t="s">
        <v>26</v>
      </c>
      <c r="M471" t="str">
        <f>IF(J471&gt;2010,"Yes","No")</f>
        <v>No</v>
      </c>
      <c r="N471">
        <f>F471/D471</f>
        <v>5.8317533881047677E-2</v>
      </c>
      <c r="O471">
        <f>E471/D471</f>
        <v>12.02914121199354</v>
      </c>
    </row>
    <row r="472" spans="1:15" x14ac:dyDescent="0.3">
      <c r="A472" t="s">
        <v>418</v>
      </c>
      <c r="B472" t="s">
        <v>13</v>
      </c>
      <c r="C472">
        <v>1</v>
      </c>
      <c r="D472">
        <v>285.49</v>
      </c>
      <c r="E472">
        <v>3604.47</v>
      </c>
      <c r="F472">
        <v>84.41</v>
      </c>
      <c r="G472">
        <v>1246</v>
      </c>
      <c r="H472">
        <v>4.3499999999999996</v>
      </c>
      <c r="I472">
        <v>0</v>
      </c>
      <c r="J472">
        <v>2009</v>
      </c>
      <c r="K472" t="s">
        <v>32</v>
      </c>
      <c r="L472" t="s">
        <v>23</v>
      </c>
      <c r="M472" t="str">
        <f>IF(J472&gt;2010,"Yes","No")</f>
        <v>No</v>
      </c>
      <c r="N472">
        <f>F472/D472</f>
        <v>0.29566709867245788</v>
      </c>
      <c r="O472">
        <f>E472/D472</f>
        <v>12.625556061508282</v>
      </c>
    </row>
    <row r="473" spans="1:15" x14ac:dyDescent="0.3">
      <c r="A473" t="s">
        <v>392</v>
      </c>
      <c r="B473" t="s">
        <v>75</v>
      </c>
      <c r="C473">
        <v>4</v>
      </c>
      <c r="D473">
        <v>285.82</v>
      </c>
      <c r="E473">
        <v>4137.1499999999996</v>
      </c>
      <c r="F473">
        <v>78.7</v>
      </c>
      <c r="G473">
        <v>2571</v>
      </c>
      <c r="H473">
        <v>8.3000000000000007</v>
      </c>
      <c r="I473">
        <v>1</v>
      </c>
      <c r="J473">
        <v>2009</v>
      </c>
      <c r="K473" t="s">
        <v>41</v>
      </c>
      <c r="L473" t="s">
        <v>23</v>
      </c>
      <c r="M473" t="str">
        <f>IF(J473&gt;2010,"Yes","No")</f>
        <v>No</v>
      </c>
      <c r="N473">
        <f>F473/D473</f>
        <v>0.27534812119515784</v>
      </c>
      <c r="O473">
        <f>E473/D473</f>
        <v>14.474669372332237</v>
      </c>
    </row>
    <row r="474" spans="1:15" x14ac:dyDescent="0.3">
      <c r="A474" t="s">
        <v>91</v>
      </c>
      <c r="B474" t="s">
        <v>13</v>
      </c>
      <c r="C474">
        <v>2</v>
      </c>
      <c r="D474">
        <v>286.25</v>
      </c>
      <c r="E474">
        <v>1850.39</v>
      </c>
      <c r="F474">
        <v>58.62</v>
      </c>
      <c r="G474">
        <v>3840</v>
      </c>
      <c r="H474">
        <v>8.2799999999999994</v>
      </c>
      <c r="I474">
        <v>1</v>
      </c>
      <c r="J474">
        <v>1999</v>
      </c>
      <c r="K474" t="s">
        <v>18</v>
      </c>
      <c r="L474" t="s">
        <v>23</v>
      </c>
      <c r="M474" t="str">
        <f>IF(J474&gt;2010,"Yes","No")</f>
        <v>No</v>
      </c>
      <c r="N474">
        <f>F474/D474</f>
        <v>0.20478602620087336</v>
      </c>
      <c r="O474">
        <f>E474/D474</f>
        <v>6.4642445414847165</v>
      </c>
    </row>
    <row r="475" spans="1:15" x14ac:dyDescent="0.3">
      <c r="A475" t="s">
        <v>99</v>
      </c>
      <c r="B475" t="s">
        <v>30</v>
      </c>
      <c r="C475">
        <v>4</v>
      </c>
      <c r="D475">
        <v>286.58999999999997</v>
      </c>
      <c r="E475">
        <v>1950.63</v>
      </c>
      <c r="F475">
        <v>37.75</v>
      </c>
      <c r="G475">
        <v>1312</v>
      </c>
      <c r="H475">
        <v>0.55000000000000004</v>
      </c>
      <c r="I475">
        <v>0</v>
      </c>
      <c r="J475">
        <v>1993</v>
      </c>
      <c r="K475" t="s">
        <v>14</v>
      </c>
      <c r="L475" t="s">
        <v>15</v>
      </c>
      <c r="M475" t="str">
        <f>IF(J475&gt;2010,"Yes","No")</f>
        <v>No</v>
      </c>
      <c r="N475">
        <f>F475/D475</f>
        <v>0.13172127429428801</v>
      </c>
      <c r="O475">
        <f>E475/D475</f>
        <v>6.8063435569978026</v>
      </c>
    </row>
    <row r="476" spans="1:15" x14ac:dyDescent="0.3">
      <c r="A476" t="s">
        <v>199</v>
      </c>
      <c r="B476" t="s">
        <v>39</v>
      </c>
      <c r="C476">
        <v>2</v>
      </c>
      <c r="D476">
        <v>286.95</v>
      </c>
      <c r="E476">
        <v>1570.83</v>
      </c>
      <c r="F476">
        <v>75.099999999999994</v>
      </c>
      <c r="G476">
        <v>3203</v>
      </c>
      <c r="H476">
        <v>6.8</v>
      </c>
      <c r="I476">
        <v>1</v>
      </c>
      <c r="J476">
        <v>2008</v>
      </c>
      <c r="K476" t="s">
        <v>41</v>
      </c>
      <c r="L476" t="s">
        <v>23</v>
      </c>
      <c r="M476" t="str">
        <f>IF(J476&gt;2010,"Yes","No")</f>
        <v>No</v>
      </c>
      <c r="N476">
        <f>F476/D476</f>
        <v>0.26171806935006098</v>
      </c>
      <c r="O476">
        <f>E476/D476</f>
        <v>5.4742289597490847</v>
      </c>
    </row>
    <row r="477" spans="1:15" x14ac:dyDescent="0.3">
      <c r="A477" t="s">
        <v>218</v>
      </c>
      <c r="B477" t="s">
        <v>34</v>
      </c>
      <c r="C477">
        <v>1</v>
      </c>
      <c r="D477">
        <v>287.2</v>
      </c>
      <c r="E477">
        <v>1774.54</v>
      </c>
      <c r="F477">
        <v>31.3</v>
      </c>
      <c r="G477">
        <v>2020</v>
      </c>
      <c r="H477">
        <v>4.3600000000000003</v>
      </c>
      <c r="I477">
        <v>0</v>
      </c>
      <c r="J477">
        <v>2011</v>
      </c>
      <c r="K477" t="s">
        <v>14</v>
      </c>
      <c r="L477" t="s">
        <v>26</v>
      </c>
      <c r="M477" t="str">
        <f>IF(J477&gt;2010,"Yes","No")</f>
        <v>Yes</v>
      </c>
      <c r="N477">
        <f>F477/D477</f>
        <v>0.108983286908078</v>
      </c>
      <c r="O477">
        <f>E477/D477</f>
        <v>6.1787604456824514</v>
      </c>
    </row>
    <row r="478" spans="1:15" x14ac:dyDescent="0.3">
      <c r="A478" t="s">
        <v>122</v>
      </c>
      <c r="B478" t="s">
        <v>75</v>
      </c>
      <c r="C478">
        <v>3</v>
      </c>
      <c r="D478">
        <v>287.47000000000003</v>
      </c>
      <c r="E478">
        <v>4016.2</v>
      </c>
      <c r="F478">
        <v>27.63</v>
      </c>
      <c r="G478">
        <v>887</v>
      </c>
      <c r="H478">
        <v>8.9700000000000006</v>
      </c>
      <c r="I478">
        <v>0</v>
      </c>
      <c r="J478">
        <v>1995</v>
      </c>
      <c r="K478" t="s">
        <v>28</v>
      </c>
      <c r="L478" t="s">
        <v>15</v>
      </c>
      <c r="M478" t="str">
        <f>IF(J478&gt;2010,"Yes","No")</f>
        <v>No</v>
      </c>
      <c r="N478">
        <f>F478/D478</f>
        <v>9.6114377152398497E-2</v>
      </c>
      <c r="O478">
        <f>E478/D478</f>
        <v>13.970849132083346</v>
      </c>
    </row>
    <row r="479" spans="1:15" x14ac:dyDescent="0.3">
      <c r="A479" t="s">
        <v>79</v>
      </c>
      <c r="B479" t="s">
        <v>75</v>
      </c>
      <c r="C479">
        <v>1</v>
      </c>
      <c r="D479">
        <v>287.61</v>
      </c>
      <c r="E479">
        <v>4110.09</v>
      </c>
      <c r="F479">
        <v>49.67</v>
      </c>
      <c r="G479">
        <v>1561</v>
      </c>
      <c r="H479">
        <v>5.49</v>
      </c>
      <c r="I479">
        <v>1</v>
      </c>
      <c r="J479">
        <v>2020</v>
      </c>
      <c r="K479" t="s">
        <v>18</v>
      </c>
      <c r="L479" t="s">
        <v>15</v>
      </c>
      <c r="M479" t="str">
        <f>IF(J479&gt;2010,"Yes","No")</f>
        <v>Yes</v>
      </c>
      <c r="N479">
        <f>F479/D479</f>
        <v>0.17269914119815027</v>
      </c>
      <c r="O479">
        <f>E479/D479</f>
        <v>14.290497548763952</v>
      </c>
    </row>
    <row r="480" spans="1:15" x14ac:dyDescent="0.3">
      <c r="A480" t="s">
        <v>463</v>
      </c>
      <c r="B480" t="s">
        <v>25</v>
      </c>
      <c r="C480">
        <v>1</v>
      </c>
      <c r="D480">
        <v>288.25</v>
      </c>
      <c r="E480">
        <v>2209.1</v>
      </c>
      <c r="F480">
        <v>32.18</v>
      </c>
      <c r="G480">
        <v>3650</v>
      </c>
      <c r="H480">
        <v>7.75</v>
      </c>
      <c r="I480">
        <v>0</v>
      </c>
      <c r="J480">
        <v>1993</v>
      </c>
      <c r="K480" t="s">
        <v>32</v>
      </c>
      <c r="L480" t="s">
        <v>15</v>
      </c>
      <c r="M480" t="str">
        <f>IF(J480&gt;2010,"Yes","No")</f>
        <v>No</v>
      </c>
      <c r="N480">
        <f>F480/D480</f>
        <v>0.11163920208152645</v>
      </c>
      <c r="O480">
        <f>E480/D480</f>
        <v>7.6638334778837809</v>
      </c>
    </row>
    <row r="481" spans="1:15" x14ac:dyDescent="0.3">
      <c r="A481" t="s">
        <v>278</v>
      </c>
      <c r="B481" t="s">
        <v>21</v>
      </c>
      <c r="C481">
        <v>1</v>
      </c>
      <c r="D481">
        <v>288.41000000000003</v>
      </c>
      <c r="E481">
        <v>3721.48</v>
      </c>
      <c r="F481">
        <v>73.989999999999995</v>
      </c>
      <c r="G481">
        <v>2193</v>
      </c>
      <c r="H481">
        <v>1.82</v>
      </c>
      <c r="I481">
        <v>0</v>
      </c>
      <c r="J481">
        <v>2008</v>
      </c>
      <c r="K481" t="s">
        <v>41</v>
      </c>
      <c r="L481" t="s">
        <v>15</v>
      </c>
      <c r="M481" t="str">
        <f>IF(J481&gt;2010,"Yes","No")</f>
        <v>No</v>
      </c>
      <c r="N481">
        <f>F481/D481</f>
        <v>0.25654450261780098</v>
      </c>
      <c r="O481">
        <f>E481/D481</f>
        <v>12.903436080579729</v>
      </c>
    </row>
    <row r="482" spans="1:15" x14ac:dyDescent="0.3">
      <c r="A482" t="s">
        <v>117</v>
      </c>
      <c r="B482" t="s">
        <v>17</v>
      </c>
      <c r="C482">
        <v>4</v>
      </c>
      <c r="D482">
        <v>288.64999999999998</v>
      </c>
      <c r="E482">
        <v>3496.17</v>
      </c>
      <c r="F482">
        <v>1.44</v>
      </c>
      <c r="G482">
        <v>480</v>
      </c>
      <c r="H482">
        <v>7.34</v>
      </c>
      <c r="I482">
        <v>0</v>
      </c>
      <c r="J482">
        <v>2006</v>
      </c>
      <c r="K482" t="s">
        <v>41</v>
      </c>
      <c r="L482" t="s">
        <v>23</v>
      </c>
      <c r="M482" t="str">
        <f>IF(J482&gt;2010,"Yes","No")</f>
        <v>No</v>
      </c>
      <c r="N482">
        <f>F482/D482</f>
        <v>4.9887406894162482E-3</v>
      </c>
      <c r="O482">
        <f>E482/D482</f>
        <v>12.112142733414171</v>
      </c>
    </row>
    <row r="483" spans="1:15" x14ac:dyDescent="0.3">
      <c r="A483" t="s">
        <v>253</v>
      </c>
      <c r="B483" t="s">
        <v>17</v>
      </c>
      <c r="C483">
        <v>3</v>
      </c>
      <c r="D483">
        <v>288.66000000000003</v>
      </c>
      <c r="E483">
        <v>4264.8999999999996</v>
      </c>
      <c r="F483">
        <v>9.39</v>
      </c>
      <c r="G483">
        <v>1016</v>
      </c>
      <c r="H483">
        <v>5.22</v>
      </c>
      <c r="I483">
        <v>0</v>
      </c>
      <c r="J483">
        <v>2006</v>
      </c>
      <c r="K483" t="s">
        <v>32</v>
      </c>
      <c r="L483" t="s">
        <v>15</v>
      </c>
      <c r="M483" t="str">
        <f>IF(J483&gt;2010,"Yes","No")</f>
        <v>No</v>
      </c>
      <c r="N483">
        <f>F483/D483</f>
        <v>3.252961962170027E-2</v>
      </c>
      <c r="O483">
        <f>E483/D483</f>
        <v>14.774821589413149</v>
      </c>
    </row>
    <row r="484" spans="1:15" x14ac:dyDescent="0.3">
      <c r="A484" t="s">
        <v>341</v>
      </c>
      <c r="B484" t="s">
        <v>75</v>
      </c>
      <c r="C484">
        <v>4</v>
      </c>
      <c r="D484">
        <v>288.99</v>
      </c>
      <c r="E484">
        <v>1125.78</v>
      </c>
      <c r="F484">
        <v>12.11</v>
      </c>
      <c r="G484">
        <v>239</v>
      </c>
      <c r="H484">
        <v>2.99</v>
      </c>
      <c r="I484">
        <v>1</v>
      </c>
      <c r="J484">
        <v>2021</v>
      </c>
      <c r="K484" t="s">
        <v>28</v>
      </c>
      <c r="L484" t="s">
        <v>15</v>
      </c>
      <c r="M484" t="str">
        <f>IF(J484&gt;2010,"Yes","No")</f>
        <v>Yes</v>
      </c>
      <c r="N484">
        <f>F484/D484</f>
        <v>4.1904564171770645E-2</v>
      </c>
      <c r="O484">
        <f>E484/D484</f>
        <v>3.8955673206685351</v>
      </c>
    </row>
    <row r="485" spans="1:15" x14ac:dyDescent="0.3">
      <c r="A485" t="s">
        <v>346</v>
      </c>
      <c r="B485" t="s">
        <v>75</v>
      </c>
      <c r="C485">
        <v>4</v>
      </c>
      <c r="D485">
        <v>289.37</v>
      </c>
      <c r="E485">
        <v>3014.26</v>
      </c>
      <c r="F485">
        <v>28.45</v>
      </c>
      <c r="G485">
        <v>1678</v>
      </c>
      <c r="H485">
        <v>3.4</v>
      </c>
      <c r="I485">
        <v>1</v>
      </c>
      <c r="J485">
        <v>2012</v>
      </c>
      <c r="K485" t="s">
        <v>28</v>
      </c>
      <c r="L485" t="s">
        <v>15</v>
      </c>
      <c r="M485" t="str">
        <f>IF(J485&gt;2010,"Yes","No")</f>
        <v>Yes</v>
      </c>
      <c r="N485">
        <f>F485/D485</f>
        <v>9.8317033555655381E-2</v>
      </c>
      <c r="O485">
        <f>E485/D485</f>
        <v>10.416629229014756</v>
      </c>
    </row>
    <row r="486" spans="1:15" x14ac:dyDescent="0.3">
      <c r="A486" t="s">
        <v>369</v>
      </c>
      <c r="B486" t="s">
        <v>21</v>
      </c>
      <c r="C486">
        <v>4</v>
      </c>
      <c r="D486">
        <v>290.27</v>
      </c>
      <c r="E486">
        <v>3242.81</v>
      </c>
      <c r="F486">
        <v>48.89</v>
      </c>
      <c r="G486">
        <v>3264</v>
      </c>
      <c r="H486">
        <v>2.1800000000000002</v>
      </c>
      <c r="I486">
        <v>1</v>
      </c>
      <c r="J486">
        <v>2004</v>
      </c>
      <c r="K486" t="s">
        <v>32</v>
      </c>
      <c r="L486" t="s">
        <v>15</v>
      </c>
      <c r="M486" t="str">
        <f>IF(J486&gt;2010,"Yes","No")</f>
        <v>No</v>
      </c>
      <c r="N486">
        <f>F486/D486</f>
        <v>0.16842939332345749</v>
      </c>
      <c r="O486">
        <f>E486/D486</f>
        <v>11.171702208288835</v>
      </c>
    </row>
    <row r="487" spans="1:15" x14ac:dyDescent="0.3">
      <c r="A487" t="s">
        <v>112</v>
      </c>
      <c r="B487" t="s">
        <v>39</v>
      </c>
      <c r="C487">
        <v>2</v>
      </c>
      <c r="D487">
        <v>290.33</v>
      </c>
      <c r="E487">
        <v>2419.33</v>
      </c>
      <c r="F487">
        <v>22.6</v>
      </c>
      <c r="G487">
        <v>3216</v>
      </c>
      <c r="H487">
        <v>4.43</v>
      </c>
      <c r="I487">
        <v>0</v>
      </c>
      <c r="J487">
        <v>2000</v>
      </c>
      <c r="K487" t="s">
        <v>41</v>
      </c>
      <c r="L487" t="s">
        <v>23</v>
      </c>
      <c r="M487" t="str">
        <f>IF(J487&gt;2010,"Yes","No")</f>
        <v>No</v>
      </c>
      <c r="N487">
        <f>F487/D487</f>
        <v>7.7842455137257613E-2</v>
      </c>
      <c r="O487">
        <f>E487/D487</f>
        <v>8.3330348224434267</v>
      </c>
    </row>
    <row r="488" spans="1:15" x14ac:dyDescent="0.3">
      <c r="A488" t="s">
        <v>35</v>
      </c>
      <c r="B488" t="s">
        <v>25</v>
      </c>
      <c r="C488">
        <v>5</v>
      </c>
      <c r="D488">
        <v>292.38</v>
      </c>
      <c r="E488">
        <v>1665.52</v>
      </c>
      <c r="F488">
        <v>13.87</v>
      </c>
      <c r="G488">
        <v>4657</v>
      </c>
      <c r="H488">
        <v>9.5500000000000007</v>
      </c>
      <c r="I488">
        <v>0</v>
      </c>
      <c r="J488">
        <v>1994</v>
      </c>
      <c r="K488" t="s">
        <v>14</v>
      </c>
      <c r="L488" t="s">
        <v>15</v>
      </c>
      <c r="M488" t="str">
        <f>IF(J488&gt;2010,"Yes","No")</f>
        <v>No</v>
      </c>
      <c r="N488">
        <f>F488/D488</f>
        <v>4.7438265271222378E-2</v>
      </c>
      <c r="O488">
        <f>E488/D488</f>
        <v>5.6964224639168206</v>
      </c>
    </row>
    <row r="489" spans="1:15" x14ac:dyDescent="0.3">
      <c r="A489" t="s">
        <v>388</v>
      </c>
      <c r="B489" t="s">
        <v>75</v>
      </c>
      <c r="C489">
        <v>5</v>
      </c>
      <c r="D489">
        <v>292.42</v>
      </c>
      <c r="E489">
        <v>3721.99</v>
      </c>
      <c r="F489">
        <v>64</v>
      </c>
      <c r="G489">
        <v>1529</v>
      </c>
      <c r="H489">
        <v>2.62</v>
      </c>
      <c r="I489">
        <v>1</v>
      </c>
      <c r="J489">
        <v>2016</v>
      </c>
      <c r="K489" t="s">
        <v>18</v>
      </c>
      <c r="L489" t="s">
        <v>26</v>
      </c>
      <c r="M489" t="str">
        <f>IF(J489&gt;2010,"Yes","No")</f>
        <v>Yes</v>
      </c>
      <c r="N489">
        <f>F489/D489</f>
        <v>0.2188632788454962</v>
      </c>
      <c r="O489">
        <f>E489/D489</f>
        <v>12.728233362971068</v>
      </c>
    </row>
    <row r="490" spans="1:15" x14ac:dyDescent="0.3">
      <c r="A490" t="s">
        <v>412</v>
      </c>
      <c r="B490" t="s">
        <v>21</v>
      </c>
      <c r="C490">
        <v>2</v>
      </c>
      <c r="D490">
        <v>293.25</v>
      </c>
      <c r="E490">
        <v>4357.49</v>
      </c>
      <c r="F490">
        <v>47.48</v>
      </c>
      <c r="G490">
        <v>4001</v>
      </c>
      <c r="H490">
        <v>3.03</v>
      </c>
      <c r="I490">
        <v>0</v>
      </c>
      <c r="J490">
        <v>2022</v>
      </c>
      <c r="K490" t="s">
        <v>41</v>
      </c>
      <c r="L490" t="s">
        <v>15</v>
      </c>
      <c r="M490" t="str">
        <f>IF(J490&gt;2010,"Yes","No")</f>
        <v>Yes</v>
      </c>
      <c r="N490">
        <f>F490/D490</f>
        <v>0.1619096334185848</v>
      </c>
      <c r="O490">
        <f>E490/D490</f>
        <v>14.85930093776641</v>
      </c>
    </row>
    <row r="491" spans="1:15" x14ac:dyDescent="0.3">
      <c r="A491" t="s">
        <v>128</v>
      </c>
      <c r="B491" t="s">
        <v>17</v>
      </c>
      <c r="C491">
        <v>1</v>
      </c>
      <c r="D491">
        <v>294.18</v>
      </c>
      <c r="E491">
        <v>2565.35</v>
      </c>
      <c r="F491">
        <v>26.89</v>
      </c>
      <c r="G491">
        <v>4795</v>
      </c>
      <c r="H491">
        <v>10</v>
      </c>
      <c r="I491">
        <v>0</v>
      </c>
      <c r="J491">
        <v>2002</v>
      </c>
      <c r="K491" t="s">
        <v>18</v>
      </c>
      <c r="L491" t="s">
        <v>15</v>
      </c>
      <c r="M491" t="str">
        <f>IF(J491&gt;2010,"Yes","No")</f>
        <v>No</v>
      </c>
      <c r="N491">
        <f>F491/D491</f>
        <v>9.1406621796179213E-2</v>
      </c>
      <c r="O491">
        <f>E491/D491</f>
        <v>8.7203412876470185</v>
      </c>
    </row>
    <row r="492" spans="1:15" x14ac:dyDescent="0.3">
      <c r="A492" t="s">
        <v>203</v>
      </c>
      <c r="B492" t="s">
        <v>17</v>
      </c>
      <c r="C492">
        <v>5</v>
      </c>
      <c r="D492">
        <v>294.70999999999998</v>
      </c>
      <c r="E492">
        <v>1090.8599999999999</v>
      </c>
      <c r="F492">
        <v>34.43</v>
      </c>
      <c r="G492">
        <v>2246</v>
      </c>
      <c r="H492">
        <v>5.07</v>
      </c>
      <c r="I492">
        <v>1</v>
      </c>
      <c r="J492">
        <v>2018</v>
      </c>
      <c r="K492" t="s">
        <v>18</v>
      </c>
      <c r="L492" t="s">
        <v>15</v>
      </c>
      <c r="M492" t="str">
        <f>IF(J492&gt;2010,"Yes","No")</f>
        <v>Yes</v>
      </c>
      <c r="N492">
        <f>F492/D492</f>
        <v>0.11682671100403788</v>
      </c>
      <c r="O492">
        <f>E492/D492</f>
        <v>3.7014692409487293</v>
      </c>
    </row>
    <row r="493" spans="1:15" x14ac:dyDescent="0.3">
      <c r="A493" t="s">
        <v>383</v>
      </c>
      <c r="B493" t="s">
        <v>17</v>
      </c>
      <c r="C493">
        <v>2</v>
      </c>
      <c r="D493">
        <v>295.31</v>
      </c>
      <c r="E493">
        <v>1414.79</v>
      </c>
      <c r="F493">
        <v>16.57</v>
      </c>
      <c r="G493">
        <v>2227</v>
      </c>
      <c r="H493">
        <v>8.08</v>
      </c>
      <c r="I493">
        <v>0</v>
      </c>
      <c r="J493">
        <v>2014</v>
      </c>
      <c r="K493" t="s">
        <v>28</v>
      </c>
      <c r="L493" t="s">
        <v>15</v>
      </c>
      <c r="M493" t="str">
        <f>IF(J493&gt;2010,"Yes","No")</f>
        <v>Yes</v>
      </c>
      <c r="N493">
        <f>F493/D493</f>
        <v>5.611052791981308E-2</v>
      </c>
      <c r="O493">
        <f>E493/D493</f>
        <v>4.7908638380007451</v>
      </c>
    </row>
    <row r="494" spans="1:15" x14ac:dyDescent="0.3">
      <c r="A494" t="s">
        <v>40</v>
      </c>
      <c r="B494" t="s">
        <v>34</v>
      </c>
      <c r="C494">
        <v>1</v>
      </c>
      <c r="D494">
        <v>295.62</v>
      </c>
      <c r="E494">
        <v>2960.94</v>
      </c>
      <c r="F494">
        <v>3</v>
      </c>
      <c r="G494">
        <v>3639</v>
      </c>
      <c r="H494">
        <v>6.39</v>
      </c>
      <c r="I494">
        <v>1</v>
      </c>
      <c r="J494">
        <v>2015</v>
      </c>
      <c r="K494" t="s">
        <v>41</v>
      </c>
      <c r="L494" t="s">
        <v>23</v>
      </c>
      <c r="M494" t="str">
        <f>IF(J494&gt;2010,"Yes","No")</f>
        <v>Yes</v>
      </c>
      <c r="N494">
        <f>F494/D494</f>
        <v>1.0148163182463974E-2</v>
      </c>
      <c r="O494">
        <f>E494/D494</f>
        <v>10.016034097828292</v>
      </c>
    </row>
    <row r="495" spans="1:15" x14ac:dyDescent="0.3">
      <c r="A495" t="s">
        <v>207</v>
      </c>
      <c r="B495" t="s">
        <v>34</v>
      </c>
      <c r="C495">
        <v>1</v>
      </c>
      <c r="D495">
        <v>296.76</v>
      </c>
      <c r="E495">
        <v>3297.03</v>
      </c>
      <c r="F495">
        <v>37.26</v>
      </c>
      <c r="G495">
        <v>4902</v>
      </c>
      <c r="H495">
        <v>8.52</v>
      </c>
      <c r="I495">
        <v>1</v>
      </c>
      <c r="J495">
        <v>1991</v>
      </c>
      <c r="K495" t="s">
        <v>41</v>
      </c>
      <c r="L495" t="s">
        <v>23</v>
      </c>
      <c r="M495" t="str">
        <f>IF(J495&gt;2010,"Yes","No")</f>
        <v>No</v>
      </c>
      <c r="N495">
        <f>F495/D495</f>
        <v>0.12555600485240598</v>
      </c>
      <c r="O495">
        <f>E495/D495</f>
        <v>11.110088960776386</v>
      </c>
    </row>
    <row r="496" spans="1:15" x14ac:dyDescent="0.3">
      <c r="A496" t="s">
        <v>316</v>
      </c>
      <c r="B496" t="s">
        <v>21</v>
      </c>
      <c r="C496">
        <v>5</v>
      </c>
      <c r="D496">
        <v>297.05</v>
      </c>
      <c r="E496">
        <v>2595.86</v>
      </c>
      <c r="F496">
        <v>38.01</v>
      </c>
      <c r="G496">
        <v>401</v>
      </c>
      <c r="H496">
        <v>6.57</v>
      </c>
      <c r="I496">
        <v>1</v>
      </c>
      <c r="J496">
        <v>2013</v>
      </c>
      <c r="K496" t="s">
        <v>28</v>
      </c>
      <c r="L496" t="s">
        <v>23</v>
      </c>
      <c r="M496" t="str">
        <f>IF(J496&gt;2010,"Yes","No")</f>
        <v>Yes</v>
      </c>
      <c r="N496">
        <f>F496/D496</f>
        <v>0.12795825618582729</v>
      </c>
      <c r="O496">
        <f>E496/D496</f>
        <v>8.7387981821242224</v>
      </c>
    </row>
    <row r="497" spans="1:15" x14ac:dyDescent="0.3">
      <c r="A497" t="s">
        <v>169</v>
      </c>
      <c r="B497" t="s">
        <v>39</v>
      </c>
      <c r="C497">
        <v>1</v>
      </c>
      <c r="D497">
        <v>297.11</v>
      </c>
      <c r="E497">
        <v>2768.47</v>
      </c>
      <c r="F497">
        <v>61.33</v>
      </c>
      <c r="G497">
        <v>2372</v>
      </c>
      <c r="H497">
        <v>6.74</v>
      </c>
      <c r="I497">
        <v>0</v>
      </c>
      <c r="J497">
        <v>2002</v>
      </c>
      <c r="K497" t="s">
        <v>32</v>
      </c>
      <c r="L497" t="s">
        <v>15</v>
      </c>
      <c r="M497" t="str">
        <f>IF(J497&gt;2010,"Yes","No")</f>
        <v>No</v>
      </c>
      <c r="N497">
        <f>F497/D497</f>
        <v>0.20642186395611051</v>
      </c>
      <c r="O497">
        <f>E497/D497</f>
        <v>9.3179967015583447</v>
      </c>
    </row>
    <row r="498" spans="1:15" x14ac:dyDescent="0.3">
      <c r="A498" t="s">
        <v>256</v>
      </c>
      <c r="B498" t="s">
        <v>17</v>
      </c>
      <c r="C498">
        <v>3</v>
      </c>
      <c r="D498">
        <v>297.45</v>
      </c>
      <c r="E498">
        <v>1320.07</v>
      </c>
      <c r="F498">
        <v>21.05</v>
      </c>
      <c r="G498">
        <v>1233</v>
      </c>
      <c r="H498">
        <v>5.54</v>
      </c>
      <c r="I498">
        <v>0</v>
      </c>
      <c r="J498">
        <v>2005</v>
      </c>
      <c r="K498" t="s">
        <v>32</v>
      </c>
      <c r="L498" t="s">
        <v>15</v>
      </c>
      <c r="M498" t="str">
        <f>IF(J498&gt;2010,"Yes","No")</f>
        <v>No</v>
      </c>
      <c r="N498">
        <f>F498/D498</f>
        <v>7.0768196335518577E-2</v>
      </c>
      <c r="O498">
        <f>E498/D498</f>
        <v>4.4379559589847029</v>
      </c>
    </row>
    <row r="499" spans="1:15" x14ac:dyDescent="0.3">
      <c r="A499" t="s">
        <v>479</v>
      </c>
      <c r="B499" t="s">
        <v>75</v>
      </c>
      <c r="C499">
        <v>1</v>
      </c>
      <c r="D499">
        <v>297.64</v>
      </c>
      <c r="E499">
        <v>3565.22</v>
      </c>
      <c r="F499">
        <v>99.13</v>
      </c>
      <c r="G499">
        <v>4963</v>
      </c>
      <c r="H499">
        <v>2.11</v>
      </c>
      <c r="I499">
        <v>1</v>
      </c>
      <c r="J499">
        <v>2019</v>
      </c>
      <c r="K499" t="s">
        <v>18</v>
      </c>
      <c r="L499" t="s">
        <v>26</v>
      </c>
      <c r="M499" t="str">
        <f>IF(J499&gt;2010,"Yes","No")</f>
        <v>Yes</v>
      </c>
      <c r="N499">
        <f>F499/D499</f>
        <v>0.33305335304394573</v>
      </c>
      <c r="O499">
        <f>E499/D499</f>
        <v>11.978295927966672</v>
      </c>
    </row>
    <row r="500" spans="1:15" x14ac:dyDescent="0.3">
      <c r="A500" t="s">
        <v>229</v>
      </c>
      <c r="B500" t="s">
        <v>21</v>
      </c>
      <c r="C500">
        <v>4</v>
      </c>
      <c r="D500">
        <v>298.89999999999998</v>
      </c>
      <c r="E500">
        <v>3192.86</v>
      </c>
      <c r="F500">
        <v>16.97</v>
      </c>
      <c r="G500">
        <v>2347</v>
      </c>
      <c r="H500">
        <v>9.82</v>
      </c>
      <c r="I500">
        <v>1</v>
      </c>
      <c r="J500">
        <v>2009</v>
      </c>
      <c r="K500" t="s">
        <v>28</v>
      </c>
      <c r="L500" t="s">
        <v>15</v>
      </c>
      <c r="M500" t="str">
        <f>IF(J500&gt;2010,"Yes","No")</f>
        <v>No</v>
      </c>
      <c r="N500">
        <f>F500/D500</f>
        <v>5.6774841083974577E-2</v>
      </c>
      <c r="O500">
        <f>E500/D500</f>
        <v>10.682034125125462</v>
      </c>
    </row>
    <row r="501" spans="1:15" x14ac:dyDescent="0.3">
      <c r="A501" t="s">
        <v>136</v>
      </c>
      <c r="B501" t="s">
        <v>75</v>
      </c>
      <c r="C501">
        <v>2</v>
      </c>
      <c r="D501">
        <v>299.81</v>
      </c>
      <c r="E501">
        <v>4125.5600000000004</v>
      </c>
      <c r="F501">
        <v>77.209999999999994</v>
      </c>
      <c r="G501">
        <v>2813</v>
      </c>
      <c r="H501">
        <v>7.56</v>
      </c>
      <c r="I501">
        <v>1</v>
      </c>
      <c r="J501">
        <v>1998</v>
      </c>
      <c r="K501" t="s">
        <v>18</v>
      </c>
      <c r="L501" t="s">
        <v>23</v>
      </c>
      <c r="M501" t="str">
        <f>IF(J501&gt;2010,"Yes","No")</f>
        <v>No</v>
      </c>
      <c r="N501">
        <f>F501/D501</f>
        <v>0.25752976885360729</v>
      </c>
      <c r="O501">
        <f>E501/D501</f>
        <v>13.760581701744439</v>
      </c>
    </row>
  </sheetData>
  <sortState xmlns:xlrd2="http://schemas.microsoft.com/office/spreadsheetml/2017/richdata2" ref="A2:O501">
    <sortCondition ref="D2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total number of startups</vt:lpstr>
      <vt:lpstr>Top industry for startups</vt:lpstr>
      <vt:lpstr>Average startup funding</vt:lpstr>
      <vt:lpstr>Average revenue by industry</vt:lpstr>
      <vt:lpstr>Top region for startups</vt:lpstr>
      <vt:lpstr>Startup profit status</vt:lpstr>
      <vt:lpstr>Top-funded industry</vt:lpstr>
      <vt:lpstr>Highest-valued startup</vt:lpstr>
      <vt:lpstr>Top market share startup</vt:lpstr>
      <vt:lpstr>Top 5 overvalued startups</vt:lpstr>
      <vt:lpstr>Region with highest revenue</vt:lpstr>
      <vt:lpstr>Industry with most funding</vt:lpstr>
      <vt:lpstr>Industry &amp; region founding year</vt:lpstr>
      <vt:lpstr>Funding amount over time</vt:lpstr>
      <vt:lpstr>Younger startups- profitability</vt:lpstr>
      <vt:lpstr>Funding vs. revenue analysis</vt:lpstr>
      <vt:lpstr>Startups with best efficiency</vt:lpstr>
      <vt:lpstr>Best valuation per employee</vt:lpstr>
      <vt:lpstr>Profitable companies get funded</vt:lpstr>
      <vt:lpstr>Rank startups by revenue</vt:lpstr>
      <vt:lpstr>Rank regions by investment</vt:lpstr>
      <vt:lpstr>startup_data</vt:lpstr>
      <vt:lpstr>startup_data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anos</dc:creator>
  <cp:lastModifiedBy>UTKARSH THAKUR</cp:lastModifiedBy>
  <dcterms:created xsi:type="dcterms:W3CDTF">2025-04-27T09:17:36Z</dcterms:created>
  <dcterms:modified xsi:type="dcterms:W3CDTF">2025-04-28T16:56:04Z</dcterms:modified>
</cp:coreProperties>
</file>